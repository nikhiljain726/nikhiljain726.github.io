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730"/>
  <workbookPr filterPrivacy="1"/>
  <xr:revisionPtr revIDLastSave="0" documentId="13_ncr:1_{DE483C98-BD0C-4D17-87EF-02BC004A6E0C}" xr6:coauthVersionLast="36" xr6:coauthVersionMax="36" xr10:uidLastSave="{00000000-0000-0000-0000-000000000000}"/>
  <bookViews>
    <workbookView xWindow="0" yWindow="0" windowWidth="22260" windowHeight="12645" xr2:uid="{00000000-000D-0000-FFFF-FFFF00000000}"/>
  </bookViews>
  <sheets>
    <sheet name="Part A- Overall  Plan" sheetId="1" r:id="rId1"/>
    <sheet name="Part B -Approach for Diagnosis " sheetId="2" r:id="rId2"/>
    <sheet name="Facebook campaign setting" sheetId="3" r:id="rId3"/>
    <sheet name="Tiktok campaign Setting" sheetId="6" r:id="rId4"/>
    <sheet name="Audience Personas" sheetId="5" r:id="rId5"/>
    <sheet name="AB tests and Experiments" sheetId="11" r:id="rId6"/>
    <sheet name="Facebook Optimisation Approach" sheetId="10" r:id="rId7"/>
    <sheet name="UAC Campaign Setting" sheetId="7" r:id="rId8"/>
  </sheets>
  <definedNames>
    <definedName name="_xlnm._FilterDatabase" localSheetId="2" hidden="1">'Facebook campaign setting'!$B$2:$F$14</definedName>
    <definedName name="_xlnm._FilterDatabase" localSheetId="3" hidden="1">'Tiktok campaign Setting'!$J$26:$J$44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D4" i="1" l="1"/>
  <c r="D5" i="1"/>
  <c r="R5" i="1" s="1"/>
  <c r="D3" i="1"/>
  <c r="R3" i="1" s="1"/>
  <c r="C6" i="1"/>
  <c r="R6" i="1"/>
  <c r="E4" i="1" l="1"/>
  <c r="F4" i="1" s="1"/>
  <c r="R4" i="1"/>
  <c r="E3" i="1"/>
  <c r="E5" i="1"/>
  <c r="F5" i="1" s="1"/>
  <c r="J5" i="1" s="1"/>
  <c r="I5" i="1" l="1"/>
  <c r="L5" i="1"/>
  <c r="I4" i="1"/>
  <c r="J4" i="1"/>
  <c r="E6" i="1"/>
  <c r="H6" i="1" s="1"/>
  <c r="F3" i="1"/>
  <c r="J3" i="1" s="1"/>
  <c r="L3" i="1" l="1"/>
  <c r="L4" i="1"/>
  <c r="N5" i="1"/>
  <c r="N3" i="1"/>
  <c r="N4" i="1"/>
  <c r="J6" i="1"/>
  <c r="F6" i="1"/>
  <c r="I6" i="1" s="1"/>
  <c r="I3" i="1"/>
  <c r="O4" i="1" l="1"/>
  <c r="P6" i="1"/>
  <c r="P5" i="1"/>
  <c r="P4" i="1"/>
  <c r="O3" i="1"/>
  <c r="P3" i="1"/>
  <c r="L6" i="1"/>
  <c r="O5" i="1"/>
  <c r="N6" i="1"/>
  <c r="K6" i="1"/>
  <c r="M6" i="1" l="1"/>
  <c r="Q6" i="1"/>
  <c r="Q5" i="1"/>
  <c r="Q4" i="1"/>
  <c r="Q3" i="1"/>
  <c r="O6" i="1"/>
  <c r="B4" i="3" l="1"/>
  <c r="B5" i="3" s="1"/>
  <c r="B6" i="3" s="1"/>
  <c r="B7" i="3" s="1"/>
  <c r="B8" i="3" s="1"/>
  <c r="B9" i="3" s="1"/>
  <c r="B10" i="3" s="1"/>
  <c r="B11" i="3" s="1"/>
  <c r="B12" i="3" s="1"/>
  <c r="B13" i="3" s="1"/>
  <c r="B14" i="3" s="1"/>
  <c r="B15" i="3" s="1"/>
  <c r="B16" i="3" s="1"/>
  <c r="B17" i="3" s="1"/>
  <c r="B18" i="3" s="1"/>
  <c r="B19" i="3" s="1"/>
  <c r="B20" i="3" s="1"/>
  <c r="B21" i="3" s="1"/>
  <c r="B22" i="3" s="1"/>
  <c r="B23" i="3" s="1"/>
  <c r="B24" i="3" s="1"/>
  <c r="B25" i="3" s="1"/>
</calcChain>
</file>

<file path=xl/sharedStrings.xml><?xml version="1.0" encoding="utf-8"?>
<sst xmlns="http://schemas.openxmlformats.org/spreadsheetml/2006/main" count="268" uniqueCount="217">
  <si>
    <t xml:space="preserve">Impression </t>
  </si>
  <si>
    <t>Clicks</t>
  </si>
  <si>
    <t>Spends</t>
  </si>
  <si>
    <t>CTR</t>
  </si>
  <si>
    <t>CPM</t>
  </si>
  <si>
    <t>CPC</t>
  </si>
  <si>
    <t>Installs</t>
  </si>
  <si>
    <t>I to T CVR</t>
  </si>
  <si>
    <t>Transactions</t>
  </si>
  <si>
    <t>CPI</t>
  </si>
  <si>
    <t>Channel</t>
  </si>
  <si>
    <t>%Installs</t>
  </si>
  <si>
    <t>Facebook</t>
  </si>
  <si>
    <t>Tiktok</t>
  </si>
  <si>
    <t>CPT</t>
  </si>
  <si>
    <t>Budget Split</t>
  </si>
  <si>
    <t>Total</t>
  </si>
  <si>
    <t>Google - UAC</t>
  </si>
  <si>
    <t>Objective: Appinstall</t>
  </si>
  <si>
    <t>Google UAC</t>
  </si>
  <si>
    <t>UAC V1 Campaigns - Install</t>
  </si>
  <si>
    <t>Appinstall with inapp event optimisation is in beta phase right now - low budget campaign to test it out.</t>
  </si>
  <si>
    <t>As we have identified that the CPI is high by 20% for Facebook, we need to perform a root cause analysis of it.</t>
  </si>
  <si>
    <t>Agenda:</t>
  </si>
  <si>
    <t>Identify the funnel where the drop off is happening</t>
  </si>
  <si>
    <t>Drop in CTR</t>
  </si>
  <si>
    <t>Increase in CPCs</t>
  </si>
  <si>
    <t xml:space="preserve">Has there been drop for any one placement or across? </t>
  </si>
  <si>
    <t>Install Rate has come down</t>
  </si>
  <si>
    <t xml:space="preserve">Which Campaign performance has dropped </t>
  </si>
  <si>
    <t>Install, Conversion or retargeting?</t>
  </si>
  <si>
    <t>Instagram, Facebook, Audience network, Messenger</t>
  </si>
  <si>
    <t>Interest based, Lookalikes, or the trend is same for all</t>
  </si>
  <si>
    <t>Is there any audience which is creating the slowdown?</t>
  </si>
  <si>
    <t>Are there any specific creatives which are not working?</t>
  </si>
  <si>
    <t>Is the overlap between the audiences has increased?</t>
  </si>
  <si>
    <t>Increase in CPMs?</t>
  </si>
  <si>
    <t>Is the drop is only in some regions or across?</t>
  </si>
  <si>
    <t>Is the drop is because of newly launched category/ removal of any category from the app?</t>
  </si>
  <si>
    <t xml:space="preserve">Proper exclusions in the campaign? </t>
  </si>
  <si>
    <t xml:space="preserve">Facebook SDK and pixel only tracks till 180 days, are lifetime purchasers </t>
  </si>
  <si>
    <t>Location: Pan India</t>
  </si>
  <si>
    <t>V1:V3 = 50% : 50%</t>
  </si>
  <si>
    <t>Audience targeting</t>
  </si>
  <si>
    <t>Are there reduced number of products with lower AOVs</t>
  </si>
  <si>
    <t>`</t>
  </si>
  <si>
    <t>Is the drop only for Facebook or across?</t>
  </si>
  <si>
    <t>Gender</t>
  </si>
  <si>
    <t>Persona</t>
  </si>
  <si>
    <t>Objective</t>
  </si>
  <si>
    <t xml:space="preserve">Top Perfoming Cities </t>
  </si>
  <si>
    <t>Interest based Audiences</t>
  </si>
  <si>
    <t>Rest of India excluding  Vernac  and top cities/Regions</t>
  </si>
  <si>
    <t>Targeting</t>
  </si>
  <si>
    <t>Entrepreneur</t>
  </si>
  <si>
    <t xml:space="preserve">Small Business Owners, Enterprise owners, startup company, entrepreneurship </t>
  </si>
  <si>
    <t>These are the people who are interested in starting up &amp; other business-related activities.</t>
  </si>
  <si>
    <t>Employees</t>
  </si>
  <si>
    <t>People who work in IT &amp; other technical services firms, People who work in architecture &amp; engineering firms</t>
  </si>
  <si>
    <t xml:space="preserve">These are the people who work jobs in IT &amp; other service firms. </t>
  </si>
  <si>
    <t>Online Shoppers</t>
  </si>
  <si>
    <t>People who frequently shop online</t>
  </si>
  <si>
    <t>These are the people who are active shoppers and have more tendency of buying products online.</t>
  </si>
  <si>
    <t>People in India who prefer mid to high value goods</t>
  </si>
  <si>
    <t xml:space="preserve">Mid – High Affinity audience have a higher purchasing power and therefore more inclined towards </t>
  </si>
  <si>
    <t>Description</t>
  </si>
  <si>
    <t>Both</t>
  </si>
  <si>
    <t>Appinstall</t>
  </si>
  <si>
    <t>Female</t>
  </si>
  <si>
    <t>Male</t>
  </si>
  <si>
    <t>Vernacular/Statewise campaigns</t>
  </si>
  <si>
    <t>campaign Sr no</t>
  </si>
  <si>
    <t>Male:Female = 25% :75%</t>
  </si>
  <si>
    <t>Behavioural Audineces</t>
  </si>
  <si>
    <t>Conversion</t>
  </si>
  <si>
    <t>Look Alike Audiences</t>
  </si>
  <si>
    <t>Open</t>
  </si>
  <si>
    <t>Retargeting</t>
  </si>
  <si>
    <t>Custome Audiences</t>
  </si>
  <si>
    <t>Installed but not shared catalogue</t>
  </si>
  <si>
    <t>Shared catalogue with frequency of greater than 10 but added to cart</t>
  </si>
  <si>
    <t>Location/Audience</t>
  </si>
  <si>
    <t>Added to cart but not purchased</t>
  </si>
  <si>
    <t>NCCSAB Medium - High Affinity</t>
  </si>
  <si>
    <t>Objective: Appinstall + Conversion + Retargeting (30% + 40% + 30%)</t>
  </si>
  <si>
    <t>For now, Based upon the industry trends benchmarks has been taken for Cost per Install</t>
  </si>
  <si>
    <t>Mix of both the objectives to ensure balance across the funnel</t>
  </si>
  <si>
    <t>Creative</t>
  </si>
  <si>
    <t>&gt; Starting with Broad Category/core Audiences so as  to maximize the Reach</t>
  </si>
  <si>
    <t>&gt; Having multiple Ad formats such as GIFs, Carousels, and Videos to maintain CTR</t>
  </si>
  <si>
    <t>&gt; Crisp and Catchy messaging to appeal to the high affinity user</t>
  </si>
  <si>
    <t>&gt; Messaging showcasing the benefits/offer/USPs"</t>
  </si>
  <si>
    <t>&gt; Carrying out analysis like - HOD, DOW, Placements, Devices, Age, gender and basis the data gathered so far and optimizing accordingly</t>
  </si>
  <si>
    <t>&gt; Identifying and scaling on the top targeting</t>
  </si>
  <si>
    <t>&gt; Regular creative refresh to maintain the overall CTRs.</t>
  </si>
  <si>
    <t>&gt;Performing A/B test on the top Performing Audiences</t>
  </si>
  <si>
    <t>Optmisation conversion Window</t>
  </si>
  <si>
    <t>1 Day Click</t>
  </si>
  <si>
    <t>7 Day click or 1 day view</t>
  </si>
  <si>
    <t>Month 2</t>
  </si>
  <si>
    <t>Month 3</t>
  </si>
  <si>
    <t>Lookalike</t>
  </si>
  <si>
    <t>Rationale</t>
  </si>
  <si>
    <t>Installers</t>
  </si>
  <si>
    <t>SDK based list</t>
  </si>
  <si>
    <t xml:space="preserve">This allows us to target people who exhibit similar properties as our existing installers. </t>
  </si>
  <si>
    <t>Catalogue Shared</t>
  </si>
  <si>
    <t>This allows us to target people who are more active users than installers.</t>
  </si>
  <si>
    <r>
      <t>1</t>
    </r>
    <r>
      <rPr>
        <b/>
        <vertAlign val="superscript"/>
        <sz val="12"/>
        <color rgb="FF000000"/>
        <rFont val="Calibri"/>
        <family val="2"/>
      </rPr>
      <t>st</t>
    </r>
    <r>
      <rPr>
        <b/>
        <sz val="12"/>
        <color rgb="FF000000"/>
        <rFont val="Calibri"/>
        <family val="2"/>
      </rPr>
      <t xml:space="preserve"> Order Placed</t>
    </r>
  </si>
  <si>
    <t>Targeting lookalikes of this targeting will increase the volume of unique orders placed by users</t>
  </si>
  <si>
    <t>Customer uploaded list</t>
  </si>
  <si>
    <t>Targeting lookalikes of this targeting will increase the quality of our users.</t>
  </si>
  <si>
    <t>Purchasers LTV</t>
  </si>
  <si>
    <t>Targeting users who have made purchases based on lifetime value</t>
  </si>
  <si>
    <t>Launching V1 campaigns(English and Hindi)​</t>
  </si>
  <si>
    <t>Performing creative hygiene​</t>
  </si>
  <si>
    <t>Analyzing top-performing locations from historical data​</t>
  </si>
  <si>
    <t>Launching Vernacular V1 campaigns(Marathi, Tamil, Telugu and more)​</t>
  </si>
  <si>
    <t>Launching one V2 campaign with text-only ideas​</t>
  </si>
  <si>
    <t>New video only campaigns targeting pan-India​</t>
  </si>
  <si>
    <t>Two new V3 campaigns(English and Hindi) optimizing on the activation event​</t>
  </si>
  <si>
    <t>Increasing the bids and budgets by 15%.  ​</t>
  </si>
  <si>
    <t>Month 1</t>
  </si>
  <si>
    <t>Creative refreshes in non performing campaigns​</t>
  </si>
  <si>
    <t>Male Female Split= 75%:25%</t>
  </si>
  <si>
    <t>Notes:</t>
  </si>
  <si>
    <t xml:space="preserve">Look alike features recently has been introduced </t>
  </si>
  <si>
    <t>Exporting high value use Appsflyer to Tiktok</t>
  </si>
  <si>
    <t>Re-engagement Audiences</t>
  </si>
  <si>
    <t>7 Day Click</t>
  </si>
  <si>
    <t>Platform Level</t>
  </si>
  <si>
    <t>Instagram</t>
  </si>
  <si>
    <t>Audience Network</t>
  </si>
  <si>
    <t>Messenger</t>
  </si>
  <si>
    <t>Dynamic Language Optimisation</t>
  </si>
  <si>
    <t>Vernacular Capaigns</t>
  </si>
  <si>
    <t>Max Bid</t>
  </si>
  <si>
    <t>Target Bid</t>
  </si>
  <si>
    <t xml:space="preserve">Bid </t>
  </si>
  <si>
    <t>Separate Campaign for each State</t>
  </si>
  <si>
    <t>Education</t>
  </si>
  <si>
    <t>Automobile</t>
  </si>
  <si>
    <t>Baby, Kids &amp; Maternity</t>
  </si>
  <si>
    <t>Financial Services</t>
  </si>
  <si>
    <t>Beauty &amp; Personal Care</t>
  </si>
  <si>
    <t>Tech &amp; Electronics</t>
  </si>
  <si>
    <t>Appliances</t>
  </si>
  <si>
    <t>Travel</t>
  </si>
  <si>
    <t>Pets</t>
  </si>
  <si>
    <t>Apps</t>
  </si>
  <si>
    <t>Apparel &amp; Accessories</t>
  </si>
  <si>
    <t>News &amp; Entertainment</t>
  </si>
  <si>
    <t>Games</t>
  </si>
  <si>
    <t>Food &amp; Beverage</t>
  </si>
  <si>
    <t>Sports &amp; Outdoors</t>
  </si>
  <si>
    <t>Interest Targeting</t>
  </si>
  <si>
    <t>&gt; Funnel Level Optimization : Balance between Appinstall, Conversion and Retargeting campaigs</t>
  </si>
  <si>
    <t>&gt; Negation of users acquired so far basis the backed data along with basis the pixel</t>
  </si>
  <si>
    <t xml:space="preserve">Optimization Strategy </t>
  </si>
  <si>
    <t>Separate Campaign for Instagram and Facebook feed</t>
  </si>
  <si>
    <t>Trying out multiple Ad Placements - Such as canvas ads and Messenger to acquire incremental users at low cost</t>
  </si>
  <si>
    <t>Dynamic Langauage optimisation in ads - No need to have separate ads for each langauge</t>
  </si>
  <si>
    <t>Dynamic creative Optimisation - Let the ML system optmise the best creative</t>
  </si>
  <si>
    <t>&gt; Setting up custom rules to optimise the campaigns basis the first two weeks trends</t>
  </si>
  <si>
    <t>Campaigns with end delivery and restricted bids</t>
  </si>
  <si>
    <t>Campaigns with Accelarated delivery with restricted Bids</t>
  </si>
  <si>
    <t>&gt;Identifying the performing creatives and Scaling up!</t>
  </si>
  <si>
    <t>Install rate</t>
  </si>
  <si>
    <t>%Transactions</t>
  </si>
  <si>
    <t xml:space="preserve"> </t>
  </si>
  <si>
    <t>App:Web = 95%:05%</t>
  </si>
  <si>
    <t>Web Campaigns: Only for Retargeting Users - People Who visited the website in last 7 Days</t>
  </si>
  <si>
    <t>Month</t>
  </si>
  <si>
    <t>Startegy</t>
  </si>
  <si>
    <t>If Not ------&gt; Deep Dive into the campaigns</t>
  </si>
  <si>
    <t>Eliminate the segment causing the increase, Relaunch with campaign with refreshed audience/Creative.</t>
  </si>
  <si>
    <t xml:space="preserve">Check the audience insights between the segments and eliminate the adsets with &gt;20% overlap, </t>
  </si>
  <si>
    <t>Also, relook the structure to ensure all the adsets have non overlapping audinece segments</t>
  </si>
  <si>
    <t>Eliminate the platform causing the drop</t>
  </si>
  <si>
    <t>Single image, Carousal, Video</t>
  </si>
  <si>
    <t>Exclude the Lifetime Transctors</t>
  </si>
  <si>
    <t>Deep dive into the audinece segment causing the drop and relaunch it refreshed audience</t>
  </si>
  <si>
    <t>Eliminate the non performing regions</t>
  </si>
  <si>
    <t>if Across ---&gt; Seasonality Effect/Related to Product change</t>
  </si>
  <si>
    <t>In the category of product related changes</t>
  </si>
  <si>
    <t>Eliminate the non performing segments and scale up on the performing ones gradully</t>
  </si>
  <si>
    <t>Creative matched to the audience segment</t>
  </si>
  <si>
    <t>A/B test between V1/2/3 campaigns to see which is working the best</t>
  </si>
  <si>
    <t>UAC V2 and V3 Campaigns - In app event optimization</t>
  </si>
  <si>
    <t>Spends/day</t>
  </si>
  <si>
    <r>
      <t xml:space="preserve">Once we have the past trend numbers for our campaign, we can work upon </t>
    </r>
    <r>
      <rPr>
        <b/>
        <sz val="11"/>
        <color theme="1"/>
        <rFont val="Calibri"/>
        <family val="2"/>
        <scheme val="minor"/>
      </rPr>
      <t>Data driven Media Mix and improvise on the marketing effectiveness</t>
    </r>
  </si>
  <si>
    <t>In this plan, Only major channels have been taken, however basis specific channel level learning we can start with activities on other channels such as Search, Display, Affiliates and Influencer marketing etc</t>
  </si>
  <si>
    <t>Recently Appsflyer has introduced dynamic audience export feature to tiktok, which can be utilised for:</t>
  </si>
  <si>
    <t>Smart Optimisation campaigns after 2 week learning</t>
  </si>
  <si>
    <t>Look alike Audinecs</t>
  </si>
  <si>
    <t>Exclusion  Audience Lists</t>
  </si>
  <si>
    <t>Creative strategy - Video Content native to the paltform</t>
  </si>
  <si>
    <t>&gt;Major focus here is to bring down the CPT  while constantly scaling the campaigns</t>
  </si>
  <si>
    <t>&gt; Running new relevant audience such as Lookalike Audiences of transactor's once the audiences are built</t>
  </si>
  <si>
    <r>
      <rPr>
        <b/>
        <vertAlign val="superscript"/>
        <sz val="12"/>
        <color rgb="FF000000"/>
        <rFont val="Calibri"/>
        <family val="2"/>
      </rPr>
      <t>nth</t>
    </r>
    <r>
      <rPr>
        <b/>
        <sz val="12"/>
        <color rgb="FF000000"/>
        <rFont val="Calibri"/>
        <family val="2"/>
      </rPr>
      <t xml:space="preserve"> Order Placed</t>
    </r>
  </si>
  <si>
    <t>Entrepreneurs</t>
  </si>
  <si>
    <t xml:space="preserve"> Competitors</t>
  </si>
  <si>
    <t xml:space="preserve"> Working Professionals</t>
  </si>
  <si>
    <t xml:space="preserve"> Fashion &amp; Shopping</t>
  </si>
  <si>
    <t xml:space="preserve"> Sports &amp; Sports Celebrities</t>
  </si>
  <si>
    <t>Audiences</t>
  </si>
  <si>
    <t>Other Experiments</t>
  </si>
  <si>
    <t>Video Duration</t>
  </si>
  <si>
    <t>6Sec, 10 Sec, 15 Sec</t>
  </si>
  <si>
    <t xml:space="preserve">A/B testing </t>
  </si>
  <si>
    <t>Call to action button</t>
  </si>
  <si>
    <t>Use App, Shop now</t>
  </si>
  <si>
    <t>Feasibilty of click to Whatsapp for Faceboo Ads</t>
  </si>
  <si>
    <t>Tiktok In-app event optimisation</t>
  </si>
  <si>
    <t>Placement Level - Tiktok</t>
  </si>
  <si>
    <t>Hago, Vigo, Tiktok</t>
  </si>
  <si>
    <t>Customized placement for each of the platforms in facebook within the same 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</si>
</sst>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439]#,##0;[$₹-439]\-#,##0"/>
    <numFmt numFmtId="166" formatCode="[$₹-439]#,##0.00;[$₹-439]\-#,##0.00"/>
  </numFmts>
  <fonts count="16" x14ac:knownFonts="1">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b/>
      <sz val="12"/>
      <name val="Calibri"/>
      <family val="2"/>
    </font>
    <font>
      <sz val="12"/>
      <name val="Calibri"/>
      <family val="2"/>
    </font>
    <font>
      <sz val="11"/>
      <color rgb="FF006100"/>
      <name val="Calibri"/>
      <family val="2"/>
      <scheme val="minor"/>
    </font>
    <font>
      <sz val="12"/>
      <color rgb="FF000000"/>
      <name val="Calibri"/>
      <family val="2"/>
      <scheme val="minor"/>
    </font>
    <font>
      <b/>
      <sz val="12"/>
      <color rgb="FF000000"/>
      <name val="Calibri"/>
      <family val="2"/>
    </font>
    <font>
      <b/>
      <vertAlign val="superscript"/>
      <sz val="12"/>
      <color rgb="FF000000"/>
      <name val="Calibri"/>
      <family val="2"/>
    </font>
    <font>
      <sz val="11"/>
      <name val="Calibri"/>
      <family val="2"/>
    </font>
    <font>
      <sz val="10"/>
      <color theme="1"/>
      <name val="Calibri"/>
      <family val="2"/>
    </font>
    <font>
      <sz val="11"/>
      <color rgb="FF00B050"/>
      <name val="Calibri"/>
      <family val="2"/>
      <scheme val="minor"/>
    </font>
    <font>
      <b/>
      <sz val="14"/>
      <color rgb="FF00B050"/>
      <name val="Calibri"/>
      <family val="2"/>
      <scheme val="minor"/>
    </font>
    <font>
      <sz val="14"/>
      <color theme="1"/>
      <name val="Calibri"/>
      <family val="2"/>
      <scheme val="minor"/>
    </font>
  </fonts>
  <fills count="14">
    <fill>
      <patternFill patternType="none"/>
    </fill>
    <fill>
      <patternFill patternType="gray125"/>
    </fill>
    <fill>
      <patternFill patternType="solid">
        <fgColor theme="8" tint="-0.499984740745262"/>
        <bgColor indexed="64"/>
      </patternFill>
    </fill>
    <fill>
      <patternFill patternType="solid">
        <fgColor theme="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39997558519241921"/>
        <bgColor indexed="64"/>
      </patternFill>
    </fill>
    <fill>
      <patternFill patternType="solid">
        <fgColor rgb="FFC6EFCE"/>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7" fillId="13" borderId="0" applyNumberFormat="0" applyBorder="0" applyAlignment="0" applyProtection="0"/>
  </cellStyleXfs>
  <cellXfs count="76">
    <xf numFmtId="0" fontId="0" fillId="0" borderId="0" xfId="0"/>
    <xf numFmtId="0" fontId="4" fillId="0" borderId="0" xfId="0" applyFont="1"/>
    <xf numFmtId="0" fontId="0" fillId="0" borderId="0" xfId="0" applyFont="1"/>
    <xf numFmtId="0" fontId="3" fillId="0" borderId="0" xfId="0" applyFont="1"/>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5" fillId="3"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0" xfId="0" applyAlignment="1">
      <alignment horizontal="left"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0" fillId="11" borderId="1" xfId="0" applyFill="1" applyBorder="1" applyAlignment="1">
      <alignment horizontal="center" vertical="center" wrapText="1"/>
    </xf>
    <xf numFmtId="0" fontId="0" fillId="12" borderId="1" xfId="0" applyFill="1" applyBorder="1" applyAlignment="1">
      <alignment horizontal="center" vertical="center" wrapText="1"/>
    </xf>
    <xf numFmtId="0" fontId="0" fillId="0" borderId="0" xfId="0" applyBorder="1" applyAlignment="1">
      <alignment horizontal="center"/>
    </xf>
    <xf numFmtId="0" fontId="4" fillId="8" borderId="0" xfId="0" applyFont="1" applyFill="1" applyBorder="1" applyAlignment="1">
      <alignment horizontal="center"/>
    </xf>
    <xf numFmtId="0" fontId="8" fillId="0" borderId="0" xfId="0" applyFont="1" applyAlignment="1">
      <alignment wrapText="1"/>
    </xf>
    <xf numFmtId="0" fontId="0" fillId="0" borderId="0" xfId="0" applyAlignment="1"/>
    <xf numFmtId="0" fontId="9" fillId="0" borderId="1" xfId="0" applyFont="1" applyBorder="1" applyAlignment="1">
      <alignment horizontal="center" vertical="center" wrapText="1"/>
    </xf>
    <xf numFmtId="0" fontId="11" fillId="0" borderId="0" xfId="0" applyFont="1" applyAlignment="1">
      <alignment horizontal="left" vertical="center"/>
    </xf>
    <xf numFmtId="0" fontId="0" fillId="9" borderId="1" xfId="0" applyFill="1" applyBorder="1" applyAlignment="1">
      <alignment horizontal="center" vertical="center" wrapText="1"/>
    </xf>
    <xf numFmtId="0" fontId="4" fillId="0" borderId="0" xfId="0" applyFont="1" applyAlignment="1"/>
    <xf numFmtId="0" fontId="7" fillId="13" borderId="0" xfId="3" applyAlignment="1"/>
    <xf numFmtId="0" fontId="12" fillId="3" borderId="1" xfId="0" applyFont="1" applyFill="1" applyBorder="1" applyAlignment="1">
      <alignment horizontal="center" vertical="center" wrapText="1" readingOrder="1"/>
    </xf>
    <xf numFmtId="0" fontId="0" fillId="5" borderId="1" xfId="0" applyFill="1" applyBorder="1" applyAlignment="1">
      <alignment horizontal="center" vertical="center"/>
    </xf>
    <xf numFmtId="0" fontId="4" fillId="0" borderId="1" xfId="0" applyFont="1" applyBorder="1" applyAlignment="1">
      <alignment horizontal="center" vertical="center"/>
    </xf>
    <xf numFmtId="0" fontId="0" fillId="0" borderId="1" xfId="0" applyBorder="1" applyAlignment="1">
      <alignment horizontal="center" vertical="center"/>
    </xf>
    <xf numFmtId="0" fontId="0" fillId="7" borderId="1" xfId="0" applyFill="1" applyBorder="1" applyAlignment="1">
      <alignment horizontal="center" vertical="center"/>
    </xf>
    <xf numFmtId="0" fontId="0" fillId="6" borderId="1" xfId="0" applyFill="1" applyBorder="1" applyAlignment="1">
      <alignment horizontal="center" vertical="center"/>
    </xf>
    <xf numFmtId="0" fontId="0" fillId="10" borderId="1" xfId="0" applyFill="1" applyBorder="1" applyAlignment="1">
      <alignment horizontal="center" vertical="center" wrapText="1"/>
    </xf>
    <xf numFmtId="0" fontId="0" fillId="5" borderId="1" xfId="0" applyFill="1" applyBorder="1" applyAlignment="1">
      <alignment horizontal="center" vertical="center" wrapText="1"/>
    </xf>
    <xf numFmtId="0" fontId="0" fillId="7" borderId="1" xfId="0" applyFill="1" applyBorder="1" applyAlignment="1">
      <alignment horizontal="center" vertical="center" wrapText="1"/>
    </xf>
    <xf numFmtId="0" fontId="0" fillId="12" borderId="2" xfId="0" applyFill="1" applyBorder="1" applyAlignment="1">
      <alignment horizontal="center" vertical="center" wrapText="1"/>
    </xf>
    <xf numFmtId="0" fontId="0" fillId="12" borderId="3" xfId="0" applyFill="1" applyBorder="1" applyAlignment="1">
      <alignment horizontal="center" vertical="center" wrapText="1"/>
    </xf>
    <xf numFmtId="0" fontId="0" fillId="8" borderId="2" xfId="0" applyFill="1" applyBorder="1" applyAlignment="1">
      <alignment horizontal="center" vertical="center" wrapText="1"/>
    </xf>
    <xf numFmtId="0" fontId="0" fillId="8" borderId="3" xfId="0" applyFill="1"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4" fillId="0" borderId="1" xfId="0" applyFont="1" applyBorder="1" applyAlignment="1">
      <alignment horizontal="center" vertical="center" wrapText="1"/>
    </xf>
    <xf numFmtId="0" fontId="0" fillId="6" borderId="1" xfId="0" applyFill="1" applyBorder="1" applyAlignment="1">
      <alignment horizontal="center" vertical="center" wrapText="1"/>
    </xf>
    <xf numFmtId="0" fontId="12" fillId="3" borderId="2" xfId="0" applyFont="1" applyFill="1" applyBorder="1" applyAlignment="1">
      <alignment horizontal="center" vertical="center" wrapText="1" readingOrder="1"/>
    </xf>
    <xf numFmtId="0" fontId="12" fillId="3" borderId="3" xfId="0" applyFont="1" applyFill="1" applyBorder="1" applyAlignment="1">
      <alignment horizontal="center" vertical="center" wrapText="1" readingOrder="1"/>
    </xf>
    <xf numFmtId="0" fontId="12" fillId="3" borderId="4" xfId="0" applyFont="1" applyFill="1" applyBorder="1" applyAlignment="1">
      <alignment horizontal="center" vertical="center" wrapText="1" readingOrder="1"/>
    </xf>
    <xf numFmtId="0" fontId="12" fillId="3" borderId="1" xfId="0" applyFont="1" applyFill="1" applyBorder="1" applyAlignment="1">
      <alignment horizontal="center" vertical="center" wrapText="1" readingOrder="1"/>
    </xf>
    <xf numFmtId="0" fontId="0" fillId="0" borderId="1" xfId="0" applyBorder="1" applyAlignment="1"/>
    <xf numFmtId="0" fontId="11" fillId="4" borderId="1" xfId="0" applyFont="1" applyFill="1" applyBorder="1" applyAlignment="1">
      <alignment horizontal="left" vertical="center"/>
    </xf>
    <xf numFmtId="0" fontId="0" fillId="4" borderId="1" xfId="0" applyFill="1" applyBorder="1" applyAlignment="1"/>
    <xf numFmtId="0" fontId="11" fillId="0" borderId="2" xfId="0" applyFont="1" applyBorder="1" applyAlignment="1">
      <alignment horizontal="left" vertical="center"/>
    </xf>
    <xf numFmtId="0" fontId="11" fillId="0" borderId="4" xfId="0" applyFont="1" applyBorder="1" applyAlignment="1">
      <alignment horizontal="left" vertical="center"/>
    </xf>
    <xf numFmtId="0" fontId="11" fillId="0" borderId="3" xfId="0" applyFont="1" applyBorder="1" applyAlignment="1">
      <alignment horizontal="left" vertical="center"/>
    </xf>
    <xf numFmtId="0" fontId="13" fillId="0" borderId="0" xfId="0" applyFont="1"/>
    <xf numFmtId="0" fontId="2" fillId="2" borderId="0" xfId="0" applyFont="1" applyFill="1" applyBorder="1" applyAlignment="1">
      <alignment horizontal="center" vertical="center" wrapText="1"/>
    </xf>
    <xf numFmtId="9" fontId="0" fillId="0" borderId="0" xfId="0" applyNumberFormat="1" applyBorder="1" applyAlignment="1">
      <alignment horizontal="center" wrapText="1"/>
    </xf>
    <xf numFmtId="165" fontId="0" fillId="0" borderId="0" xfId="0" applyNumberFormat="1" applyBorder="1" applyAlignment="1">
      <alignment horizontal="center" wrapText="1"/>
    </xf>
    <xf numFmtId="164" fontId="0" fillId="0" borderId="0" xfId="0" applyNumberFormat="1" applyBorder="1" applyAlignment="1">
      <alignment horizontal="center" wrapText="1"/>
    </xf>
    <xf numFmtId="10" fontId="0" fillId="0" borderId="0" xfId="0" applyNumberFormat="1" applyBorder="1" applyAlignment="1">
      <alignment horizontal="center" wrapText="1"/>
    </xf>
    <xf numFmtId="166" fontId="0" fillId="0" borderId="0" xfId="0" applyNumberFormat="1" applyBorder="1" applyAlignment="1">
      <alignment horizontal="center" wrapText="1"/>
    </xf>
    <xf numFmtId="9" fontId="0" fillId="0" borderId="0" xfId="2" applyFont="1" applyBorder="1" applyAlignment="1">
      <alignment horizontal="center" wrapText="1"/>
    </xf>
    <xf numFmtId="9" fontId="4" fillId="8" borderId="0" xfId="0" applyNumberFormat="1" applyFont="1" applyFill="1" applyBorder="1" applyAlignment="1">
      <alignment horizontal="center" wrapText="1"/>
    </xf>
    <xf numFmtId="165" fontId="4" fillId="8" borderId="0" xfId="1" applyNumberFormat="1" applyFont="1" applyFill="1" applyBorder="1" applyAlignment="1">
      <alignment horizontal="center" wrapText="1"/>
    </xf>
    <xf numFmtId="164" fontId="4" fillId="8" borderId="0" xfId="0" applyNumberFormat="1" applyFont="1" applyFill="1" applyBorder="1" applyAlignment="1">
      <alignment horizontal="center" wrapText="1"/>
    </xf>
    <xf numFmtId="10" fontId="4" fillId="8" borderId="0" xfId="2" applyNumberFormat="1" applyFont="1" applyFill="1" applyBorder="1" applyAlignment="1">
      <alignment horizontal="center" wrapText="1"/>
    </xf>
    <xf numFmtId="166" fontId="4" fillId="8" borderId="0" xfId="1" applyNumberFormat="1" applyFont="1" applyFill="1" applyBorder="1" applyAlignment="1">
      <alignment horizontal="center" wrapText="1"/>
    </xf>
    <xf numFmtId="164" fontId="4" fillId="8" borderId="0" xfId="1" applyNumberFormat="1" applyFont="1" applyFill="1" applyBorder="1" applyAlignment="1">
      <alignment horizontal="center" wrapText="1"/>
    </xf>
    <xf numFmtId="0" fontId="0" fillId="0" borderId="0" xfId="0" applyFont="1" applyFill="1" applyAlignment="1"/>
    <xf numFmtId="0" fontId="0" fillId="0" borderId="0" xfId="0" applyFont="1" applyFill="1" applyAlignment="1">
      <alignment wrapText="1"/>
    </xf>
    <xf numFmtId="0" fontId="0" fillId="0" borderId="0" xfId="0" applyFont="1" applyFill="1"/>
    <xf numFmtId="0" fontId="2" fillId="2" borderId="1" xfId="0" applyFont="1" applyFill="1" applyBorder="1" applyAlignment="1">
      <alignment horizontal="center" wrapText="1"/>
    </xf>
    <xf numFmtId="0" fontId="8" fillId="0" borderId="1" xfId="0" applyFont="1" applyBorder="1" applyAlignment="1">
      <alignment horizontal="center" wrapText="1"/>
    </xf>
    <xf numFmtId="0" fontId="0" fillId="0" borderId="1" xfId="0" applyBorder="1" applyAlignment="1">
      <alignment horizontal="center" wrapText="1"/>
    </xf>
    <xf numFmtId="0" fontId="14" fillId="0" borderId="0" xfId="0" applyFont="1"/>
    <xf numFmtId="0" fontId="15" fillId="0" borderId="0" xfId="0" applyFont="1"/>
  </cellXfs>
  <cellStyles count="4">
    <cellStyle name="Comma" xfId="1" builtinId="3"/>
    <cellStyle name="Good" xfId="3" builtinId="26"/>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238125</xdr:colOff>
      <xdr:row>3</xdr:row>
      <xdr:rowOff>66675</xdr:rowOff>
    </xdr:from>
    <xdr:to>
      <xdr:col>1</xdr:col>
      <xdr:colOff>485775</xdr:colOff>
      <xdr:row>20</xdr:row>
      <xdr:rowOff>47625</xdr:rowOff>
    </xdr:to>
    <xdr:sp macro="" textlink="">
      <xdr:nvSpPr>
        <xdr:cNvPr id="2" name="Arrow: Down 1">
          <a:extLst>
            <a:ext uri="{FF2B5EF4-FFF2-40B4-BE49-F238E27FC236}">
              <a16:creationId xmlns:a16="http://schemas.microsoft.com/office/drawing/2014/main" id="{2FA09D63-3F4D-486F-9D00-79C94DBC8C3F}"/>
            </a:ext>
          </a:extLst>
        </xdr:cNvPr>
        <xdr:cNvSpPr/>
      </xdr:nvSpPr>
      <xdr:spPr>
        <a:xfrm>
          <a:off x="238125" y="638175"/>
          <a:ext cx="857250" cy="3219450"/>
        </a:xfrm>
        <a:prstGeom prst="downArrow">
          <a:avLst/>
        </a:prstGeom>
      </xdr:spPr>
      <xdr:style>
        <a:lnRef idx="0">
          <a:schemeClr val="accent5"/>
        </a:lnRef>
        <a:fillRef idx="3">
          <a:schemeClr val="accent5"/>
        </a:fillRef>
        <a:effectRef idx="3">
          <a:schemeClr val="accent5"/>
        </a:effectRef>
        <a:fontRef idx="minor">
          <a:schemeClr val="lt1"/>
        </a:fontRef>
      </xdr:style>
      <xdr:txBody>
        <a:bodyPr vertOverflow="clip" horzOverflow="clip" rtlCol="0" anchor="ctr"/>
        <a:lstStyle/>
        <a:p>
          <a:pPr algn="ctr"/>
          <a:r>
            <a:rPr lang="en-US" sz="2800"/>
            <a:t>STEPS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pageSetUpPr fitToPage="1"/>
  </sheetPr>
  <dimension ref="B2:R30"/>
  <sheetViews>
    <sheetView showGridLines="0" tabSelected="1" workbookViewId="0"/>
  </sheetViews>
  <sheetFormatPr defaultRowHeight="15" x14ac:dyDescent="0.25"/>
  <cols>
    <col min="2" max="2" width="12.5703125" bestFit="1" customWidth="1"/>
    <col min="3" max="3" width="11.7109375" bestFit="1" customWidth="1"/>
    <col min="4" max="4" width="11.28515625" bestFit="1" customWidth="1"/>
    <col min="5" max="5" width="12.5703125" bestFit="1" customWidth="1"/>
    <col min="6" max="6" width="10.5703125" bestFit="1" customWidth="1"/>
    <col min="7" max="7" width="6.140625" bestFit="1" customWidth="1"/>
    <col min="8" max="8" width="5.140625" bestFit="1" customWidth="1"/>
    <col min="9" max="9" width="5.7109375" bestFit="1" customWidth="1"/>
    <col min="10" max="10" width="9" bestFit="1" customWidth="1"/>
    <col min="11" max="11" width="10.42578125" bestFit="1" customWidth="1"/>
    <col min="12" max="12" width="4.140625" bestFit="1" customWidth="1"/>
    <col min="13" max="13" width="6.140625" customWidth="1"/>
    <col min="14" max="14" width="12" bestFit="1" customWidth="1"/>
    <col min="15" max="15" width="5.140625" bestFit="1" customWidth="1"/>
    <col min="16" max="16" width="8.85546875" bestFit="1" customWidth="1"/>
    <col min="17" max="17" width="13.7109375" customWidth="1"/>
    <col min="18" max="18" width="8.7109375" bestFit="1" customWidth="1"/>
  </cols>
  <sheetData>
    <row r="2" spans="2:18" s="4" customFormat="1" ht="30" x14ac:dyDescent="0.25">
      <c r="B2" s="55" t="s">
        <v>10</v>
      </c>
      <c r="C2" s="55" t="s">
        <v>15</v>
      </c>
      <c r="D2" s="55" t="s">
        <v>2</v>
      </c>
      <c r="E2" s="55" t="s">
        <v>0</v>
      </c>
      <c r="F2" s="55" t="s">
        <v>1</v>
      </c>
      <c r="G2" s="55" t="s">
        <v>3</v>
      </c>
      <c r="H2" s="55" t="s">
        <v>4</v>
      </c>
      <c r="I2" s="55" t="s">
        <v>5</v>
      </c>
      <c r="J2" s="55" t="s">
        <v>6</v>
      </c>
      <c r="K2" s="55" t="s">
        <v>167</v>
      </c>
      <c r="L2" s="55" t="s">
        <v>9</v>
      </c>
      <c r="M2" s="55" t="s">
        <v>7</v>
      </c>
      <c r="N2" s="55" t="s">
        <v>8</v>
      </c>
      <c r="O2" s="55" t="s">
        <v>14</v>
      </c>
      <c r="P2" s="55" t="s">
        <v>11</v>
      </c>
      <c r="Q2" s="55" t="s">
        <v>168</v>
      </c>
      <c r="R2" s="55" t="s">
        <v>189</v>
      </c>
    </row>
    <row r="3" spans="2:18" x14ac:dyDescent="0.25">
      <c r="B3" s="18" t="s">
        <v>12</v>
      </c>
      <c r="C3" s="56">
        <v>0.5</v>
      </c>
      <c r="D3" s="57">
        <f>C3*$D$6</f>
        <v>12500000</v>
      </c>
      <c r="E3" s="58">
        <f>1000/H3*D3</f>
        <v>156250000</v>
      </c>
      <c r="F3" s="58">
        <f>E3*G3</f>
        <v>1875000</v>
      </c>
      <c r="G3" s="59">
        <v>1.2E-2</v>
      </c>
      <c r="H3" s="57">
        <v>80</v>
      </c>
      <c r="I3" s="60">
        <f>D3/F3</f>
        <v>6.666666666666667</v>
      </c>
      <c r="J3" s="58">
        <f>F3*K3</f>
        <v>450000</v>
      </c>
      <c r="K3" s="61">
        <v>0.24</v>
      </c>
      <c r="L3" s="57">
        <f>D3/J3</f>
        <v>27.777777777777779</v>
      </c>
      <c r="M3" s="56">
        <v>0.115</v>
      </c>
      <c r="N3" s="58">
        <f>J3*M3</f>
        <v>51750</v>
      </c>
      <c r="O3" s="57">
        <f>D3/N3</f>
        <v>241.54589371980677</v>
      </c>
      <c r="P3" s="56">
        <f>J3/$J$6</f>
        <v>0.47368421052631576</v>
      </c>
      <c r="Q3" s="56">
        <f>N3/$N$6</f>
        <v>0.52405063291139242</v>
      </c>
      <c r="R3" s="57">
        <f>D3/90</f>
        <v>138888.88888888888</v>
      </c>
    </row>
    <row r="4" spans="2:18" x14ac:dyDescent="0.25">
      <c r="B4" s="18" t="s">
        <v>13</v>
      </c>
      <c r="C4" s="56">
        <v>0.1</v>
      </c>
      <c r="D4" s="57">
        <f t="shared" ref="D4:D5" si="0">C4*$D$6</f>
        <v>2500000</v>
      </c>
      <c r="E4" s="58">
        <f t="shared" ref="E4:E5" si="1">1000/H4*D4</f>
        <v>125000000</v>
      </c>
      <c r="F4" s="58">
        <f t="shared" ref="F4:F5" si="2">E4*G4</f>
        <v>1000000</v>
      </c>
      <c r="G4" s="59">
        <v>8.0000000000000002E-3</v>
      </c>
      <c r="H4" s="57">
        <v>20</v>
      </c>
      <c r="I4" s="60">
        <f t="shared" ref="I4:I6" si="3">D4/F4</f>
        <v>2.5</v>
      </c>
      <c r="J4" s="58">
        <f t="shared" ref="J4" si="4">F4*K4</f>
        <v>120000</v>
      </c>
      <c r="K4" s="61">
        <v>0.12</v>
      </c>
      <c r="L4" s="57">
        <f t="shared" ref="L4:L5" si="5">D4/J4</f>
        <v>20.833333333333332</v>
      </c>
      <c r="M4" s="56">
        <v>7.4999999999999997E-2</v>
      </c>
      <c r="N4" s="58">
        <f t="shared" ref="N4:N5" si="6">J4*M4</f>
        <v>9000</v>
      </c>
      <c r="O4" s="57">
        <f t="shared" ref="O4:O5" si="7">D4/N4</f>
        <v>277.77777777777777</v>
      </c>
      <c r="P4" s="56">
        <f t="shared" ref="P4:P6" si="8">J4/$J$6</f>
        <v>0.12631578947368421</v>
      </c>
      <c r="Q4" s="56">
        <f>N4/$N$6</f>
        <v>9.1139240506329114E-2</v>
      </c>
      <c r="R4" s="57">
        <f t="shared" ref="R4:R6" si="9">D4/90</f>
        <v>27777.777777777777</v>
      </c>
    </row>
    <row r="5" spans="2:18" x14ac:dyDescent="0.25">
      <c r="B5" s="18" t="s">
        <v>17</v>
      </c>
      <c r="C5" s="56">
        <v>0.4</v>
      </c>
      <c r="D5" s="57">
        <f t="shared" si="0"/>
        <v>10000000</v>
      </c>
      <c r="E5" s="58">
        <f t="shared" si="1"/>
        <v>250000000</v>
      </c>
      <c r="F5" s="58">
        <f t="shared" si="2"/>
        <v>4750000</v>
      </c>
      <c r="G5" s="59">
        <v>1.9E-2</v>
      </c>
      <c r="H5" s="57">
        <v>40</v>
      </c>
      <c r="I5" s="60">
        <f t="shared" si="3"/>
        <v>2.1052631578947367</v>
      </c>
      <c r="J5" s="58">
        <f>F5*K5</f>
        <v>380000</v>
      </c>
      <c r="K5" s="61">
        <v>0.08</v>
      </c>
      <c r="L5" s="57">
        <f t="shared" si="5"/>
        <v>26.315789473684209</v>
      </c>
      <c r="M5" s="56">
        <v>0.1</v>
      </c>
      <c r="N5" s="58">
        <f t="shared" si="6"/>
        <v>38000</v>
      </c>
      <c r="O5" s="57">
        <f t="shared" si="7"/>
        <v>263.15789473684208</v>
      </c>
      <c r="P5" s="56">
        <f t="shared" si="8"/>
        <v>0.4</v>
      </c>
      <c r="Q5" s="56">
        <f t="shared" ref="Q5:Q6" si="10">N5/$N$6</f>
        <v>0.38481012658227848</v>
      </c>
      <c r="R5" s="57">
        <f t="shared" si="9"/>
        <v>111111.11111111111</v>
      </c>
    </row>
    <row r="6" spans="2:18" x14ac:dyDescent="0.25">
      <c r="B6" s="19" t="s">
        <v>16</v>
      </c>
      <c r="C6" s="62">
        <f>SUM(C3:C5)</f>
        <v>1</v>
      </c>
      <c r="D6" s="63">
        <v>25000000</v>
      </c>
      <c r="E6" s="64">
        <f>SUM(E3:E5)</f>
        <v>531250000</v>
      </c>
      <c r="F6" s="64">
        <f>SUM(F3:F5)</f>
        <v>7625000</v>
      </c>
      <c r="G6" s="65">
        <v>0.01</v>
      </c>
      <c r="H6" s="63">
        <f>D6/E6*1000</f>
        <v>47.058823529411761</v>
      </c>
      <c r="I6" s="66">
        <f t="shared" si="3"/>
        <v>3.278688524590164</v>
      </c>
      <c r="J6" s="64">
        <f>SUM(J3:J5)</f>
        <v>950000</v>
      </c>
      <c r="K6" s="62">
        <f>J6/F6</f>
        <v>0.12459016393442623</v>
      </c>
      <c r="L6" s="63">
        <f>D6/J6</f>
        <v>26.315789473684209</v>
      </c>
      <c r="M6" s="62">
        <f>N6/J6</f>
        <v>0.10394736842105264</v>
      </c>
      <c r="N6" s="67">
        <f>SUM(N3:N5)</f>
        <v>98750</v>
      </c>
      <c r="O6" s="63">
        <f>D6/N6</f>
        <v>253.16455696202533</v>
      </c>
      <c r="P6" s="62">
        <f t="shared" si="8"/>
        <v>1</v>
      </c>
      <c r="Q6" s="62">
        <f t="shared" si="10"/>
        <v>1</v>
      </c>
      <c r="R6" s="63">
        <f t="shared" si="9"/>
        <v>277777.77777777775</v>
      </c>
    </row>
    <row r="9" spans="2:18" x14ac:dyDescent="0.25">
      <c r="B9" t="s">
        <v>85</v>
      </c>
    </row>
    <row r="10" spans="2:18" x14ac:dyDescent="0.25">
      <c r="B10" t="s">
        <v>190</v>
      </c>
    </row>
    <row r="11" spans="2:18" x14ac:dyDescent="0.25">
      <c r="B11" t="s">
        <v>191</v>
      </c>
    </row>
    <row r="12" spans="2:18" x14ac:dyDescent="0.25">
      <c r="B12" t="s">
        <v>72</v>
      </c>
    </row>
    <row r="13" spans="2:18" x14ac:dyDescent="0.25">
      <c r="B13" t="s">
        <v>170</v>
      </c>
    </row>
    <row r="14" spans="2:18" x14ac:dyDescent="0.25">
      <c r="B14" t="s">
        <v>171</v>
      </c>
    </row>
    <row r="16" spans="2:18" x14ac:dyDescent="0.25">
      <c r="B16" s="1" t="s">
        <v>12</v>
      </c>
    </row>
    <row r="17" spans="2:2" x14ac:dyDescent="0.25">
      <c r="B17" t="s">
        <v>84</v>
      </c>
    </row>
    <row r="18" spans="2:2" x14ac:dyDescent="0.25">
      <c r="B18" t="s">
        <v>86</v>
      </c>
    </row>
    <row r="20" spans="2:2" x14ac:dyDescent="0.25">
      <c r="B20" s="1" t="s">
        <v>13</v>
      </c>
    </row>
    <row r="21" spans="2:2" x14ac:dyDescent="0.25">
      <c r="B21" s="2" t="s">
        <v>18</v>
      </c>
    </row>
    <row r="22" spans="2:2" x14ac:dyDescent="0.25">
      <c r="B22" t="s">
        <v>21</v>
      </c>
    </row>
    <row r="23" spans="2:2" x14ac:dyDescent="0.25">
      <c r="B23" t="s">
        <v>41</v>
      </c>
    </row>
    <row r="24" spans="2:2" x14ac:dyDescent="0.25">
      <c r="B24" t="s">
        <v>43</v>
      </c>
    </row>
    <row r="26" spans="2:2" x14ac:dyDescent="0.25">
      <c r="B26" s="1" t="s">
        <v>19</v>
      </c>
    </row>
    <row r="27" spans="2:2" x14ac:dyDescent="0.25">
      <c r="B27" s="2" t="s">
        <v>20</v>
      </c>
    </row>
    <row r="28" spans="2:2" x14ac:dyDescent="0.25">
      <c r="B28" t="s">
        <v>188</v>
      </c>
    </row>
    <row r="29" spans="2:2" x14ac:dyDescent="0.25">
      <c r="B29" t="s">
        <v>187</v>
      </c>
    </row>
    <row r="30" spans="2:2" x14ac:dyDescent="0.25">
      <c r="B30" t="s">
        <v>42</v>
      </c>
    </row>
  </sheetData>
  <conditionalFormatting sqref="C3:C5">
    <cfRule type="colorScale" priority="2">
      <colorScale>
        <cfvo type="min"/>
        <cfvo type="percentile" val="50"/>
        <cfvo type="max"/>
        <color rgb="FFF8696B"/>
        <color rgb="FFFFEB84"/>
        <color rgb="FF63BE7B"/>
      </colorScale>
    </cfRule>
  </conditionalFormatting>
  <conditionalFormatting sqref="N3:N5">
    <cfRule type="colorScale" priority="1">
      <colorScale>
        <cfvo type="min"/>
        <cfvo type="percentile" val="50"/>
        <cfvo type="max"/>
        <color rgb="FFF8696B"/>
        <color rgb="FFFFEB84"/>
        <color rgb="FF63BE7B"/>
      </colorScale>
    </cfRule>
  </conditionalFormatting>
  <pageMargins left="0.7" right="0.7" top="0.75" bottom="0.75" header="0.3" footer="0.3"/>
  <pageSetup scale="81" orientation="landscape" r:id="rId1"/>
  <ignoredErrors>
    <ignoredError sqref="F3:L3 F6:O6 F5:I5 K5:L5 R6 R3:R4 R5 F4:J4 L4 N5:O5 N3:O3 N4:O4"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D1DF1-586B-4F01-96AF-9CA606C6409E}">
  <sheetPr>
    <tabColor rgb="FF00B0F0"/>
    <pageSetUpPr fitToPage="1"/>
  </sheetPr>
  <dimension ref="C2:J44"/>
  <sheetViews>
    <sheetView showGridLines="0" workbookViewId="0"/>
  </sheetViews>
  <sheetFormatPr defaultRowHeight="15" x14ac:dyDescent="0.25"/>
  <sheetData>
    <row r="2" spans="3:5" x14ac:dyDescent="0.25">
      <c r="C2" s="1" t="s">
        <v>23</v>
      </c>
      <c r="D2" t="s">
        <v>22</v>
      </c>
    </row>
    <row r="4" spans="3:5" x14ac:dyDescent="0.25">
      <c r="C4" s="3" t="s">
        <v>46</v>
      </c>
    </row>
    <row r="5" spans="3:5" x14ac:dyDescent="0.25">
      <c r="C5" s="3"/>
      <c r="E5" s="54" t="s">
        <v>183</v>
      </c>
    </row>
    <row r="6" spans="3:5" x14ac:dyDescent="0.25">
      <c r="C6" s="3"/>
      <c r="E6" s="54" t="s">
        <v>174</v>
      </c>
    </row>
    <row r="7" spans="3:5" x14ac:dyDescent="0.25">
      <c r="C7" s="3"/>
    </row>
    <row r="8" spans="3:5" x14ac:dyDescent="0.25">
      <c r="C8" s="3" t="s">
        <v>24</v>
      </c>
    </row>
    <row r="9" spans="3:5" x14ac:dyDescent="0.25">
      <c r="C9" s="3"/>
      <c r="D9" t="s">
        <v>36</v>
      </c>
    </row>
    <row r="10" spans="3:5" x14ac:dyDescent="0.25">
      <c r="C10" s="3"/>
      <c r="D10" t="s">
        <v>25</v>
      </c>
    </row>
    <row r="11" spans="3:5" x14ac:dyDescent="0.25">
      <c r="C11" s="3"/>
      <c r="D11" t="s">
        <v>26</v>
      </c>
    </row>
    <row r="12" spans="3:5" x14ac:dyDescent="0.25">
      <c r="C12" s="3"/>
      <c r="D12" t="s">
        <v>28</v>
      </c>
    </row>
    <row r="13" spans="3:5" x14ac:dyDescent="0.25">
      <c r="C13" s="3"/>
      <c r="E13" s="54" t="s">
        <v>175</v>
      </c>
    </row>
    <row r="14" spans="3:5" x14ac:dyDescent="0.25">
      <c r="C14" s="3"/>
    </row>
    <row r="15" spans="3:5" x14ac:dyDescent="0.25">
      <c r="C15" s="3" t="s">
        <v>29</v>
      </c>
    </row>
    <row r="16" spans="3:5" x14ac:dyDescent="0.25">
      <c r="C16" s="3"/>
      <c r="D16" t="s">
        <v>30</v>
      </c>
    </row>
    <row r="17" spans="3:5" x14ac:dyDescent="0.25">
      <c r="C17" s="3"/>
    </row>
    <row r="18" spans="3:5" x14ac:dyDescent="0.25">
      <c r="C18" s="3" t="s">
        <v>33</v>
      </c>
    </row>
    <row r="19" spans="3:5" x14ac:dyDescent="0.25">
      <c r="C19" s="3"/>
      <c r="D19" t="s">
        <v>32</v>
      </c>
    </row>
    <row r="20" spans="3:5" x14ac:dyDescent="0.25">
      <c r="C20" s="3"/>
      <c r="E20" s="54" t="s">
        <v>181</v>
      </c>
    </row>
    <row r="21" spans="3:5" x14ac:dyDescent="0.25">
      <c r="C21" s="3"/>
    </row>
    <row r="22" spans="3:5" x14ac:dyDescent="0.25">
      <c r="C22" s="3" t="s">
        <v>39</v>
      </c>
    </row>
    <row r="23" spans="3:5" x14ac:dyDescent="0.25">
      <c r="C23" s="3"/>
      <c r="D23" t="s">
        <v>40</v>
      </c>
    </row>
    <row r="24" spans="3:5" x14ac:dyDescent="0.25">
      <c r="C24" s="3"/>
      <c r="E24" s="54" t="s">
        <v>180</v>
      </c>
    </row>
    <row r="25" spans="3:5" x14ac:dyDescent="0.25">
      <c r="C25" s="3"/>
    </row>
    <row r="26" spans="3:5" x14ac:dyDescent="0.25">
      <c r="C26" s="3" t="s">
        <v>34</v>
      </c>
    </row>
    <row r="27" spans="3:5" x14ac:dyDescent="0.25">
      <c r="C27" s="3"/>
      <c r="D27" t="s">
        <v>179</v>
      </c>
    </row>
    <row r="28" spans="3:5" x14ac:dyDescent="0.25">
      <c r="C28" s="3"/>
      <c r="E28" s="54" t="s">
        <v>178</v>
      </c>
    </row>
    <row r="29" spans="3:5" x14ac:dyDescent="0.25">
      <c r="C29" s="3"/>
    </row>
    <row r="30" spans="3:5" x14ac:dyDescent="0.25">
      <c r="C30" s="3" t="s">
        <v>27</v>
      </c>
    </row>
    <row r="31" spans="3:5" x14ac:dyDescent="0.25">
      <c r="C31" s="3"/>
      <c r="D31" t="s">
        <v>31</v>
      </c>
    </row>
    <row r="32" spans="3:5" x14ac:dyDescent="0.25">
      <c r="C32" s="3"/>
      <c r="E32" s="54" t="s">
        <v>178</v>
      </c>
    </row>
    <row r="33" spans="3:10" x14ac:dyDescent="0.25">
      <c r="C33" s="3"/>
    </row>
    <row r="34" spans="3:10" x14ac:dyDescent="0.25">
      <c r="C34" s="3" t="s">
        <v>35</v>
      </c>
    </row>
    <row r="35" spans="3:10" ht="15" customHeight="1" x14ac:dyDescent="0.25">
      <c r="C35" s="3"/>
      <c r="E35" s="54" t="s">
        <v>176</v>
      </c>
    </row>
    <row r="36" spans="3:10" x14ac:dyDescent="0.25">
      <c r="E36" s="54" t="s">
        <v>177</v>
      </c>
    </row>
    <row r="38" spans="3:10" x14ac:dyDescent="0.25">
      <c r="C38" s="3" t="s">
        <v>37</v>
      </c>
    </row>
    <row r="39" spans="3:10" x14ac:dyDescent="0.25">
      <c r="C39" s="3"/>
      <c r="E39" s="54" t="s">
        <v>182</v>
      </c>
    </row>
    <row r="40" spans="3:10" x14ac:dyDescent="0.25">
      <c r="C40" s="3"/>
    </row>
    <row r="41" spans="3:10" x14ac:dyDescent="0.25">
      <c r="C41" s="3" t="s">
        <v>44</v>
      </c>
      <c r="J41" t="s">
        <v>45</v>
      </c>
    </row>
    <row r="42" spans="3:10" x14ac:dyDescent="0.25">
      <c r="C42" s="3" t="s">
        <v>38</v>
      </c>
    </row>
    <row r="43" spans="3:10" x14ac:dyDescent="0.25">
      <c r="C43" s="3"/>
      <c r="E43" s="54" t="s">
        <v>184</v>
      </c>
    </row>
    <row r="44" spans="3:10" x14ac:dyDescent="0.25">
      <c r="E44" s="54" t="s">
        <v>185</v>
      </c>
    </row>
  </sheetData>
  <pageMargins left="0.7" right="0.7" top="0.75" bottom="0.75" header="0.3" footer="0.3"/>
  <pageSetup scale="9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2AEF-1DC0-45E0-8318-B919040F556A}">
  <sheetPr>
    <tabColor theme="4" tint="-0.499984740745262"/>
    <pageSetUpPr fitToPage="1"/>
  </sheetPr>
  <dimension ref="B2:F30"/>
  <sheetViews>
    <sheetView showGridLines="0" workbookViewId="0"/>
  </sheetViews>
  <sheetFormatPr defaultRowHeight="15" x14ac:dyDescent="0.25"/>
  <cols>
    <col min="1" max="1" width="9.140625" style="4"/>
    <col min="2" max="2" width="10.140625" style="4" customWidth="1"/>
    <col min="3" max="3" width="14.140625" style="4" bestFit="1" customWidth="1"/>
    <col min="4" max="4" width="12.28515625" style="4" bestFit="1" customWidth="1"/>
    <col min="5" max="5" width="23.85546875" style="4" bestFit="1" customWidth="1"/>
    <col min="6" max="6" width="49.85546875" style="4" bestFit="1" customWidth="1"/>
    <col min="7" max="7" width="20.42578125" style="4" bestFit="1" customWidth="1"/>
    <col min="8" max="8" width="9.140625" style="4"/>
    <col min="9" max="9" width="67.5703125" style="4" bestFit="1" customWidth="1"/>
    <col min="10" max="16384" width="9.140625" style="4"/>
  </cols>
  <sheetData>
    <row r="2" spans="2:6" ht="30" x14ac:dyDescent="0.25">
      <c r="B2" s="8" t="s">
        <v>71</v>
      </c>
      <c r="C2" s="11" t="s">
        <v>49</v>
      </c>
      <c r="D2" s="11" t="s">
        <v>47</v>
      </c>
      <c r="E2" s="11" t="s">
        <v>48</v>
      </c>
      <c r="F2" s="8" t="s">
        <v>81</v>
      </c>
    </row>
    <row r="3" spans="2:6" x14ac:dyDescent="0.25">
      <c r="B3" s="5">
        <v>1</v>
      </c>
      <c r="C3" s="29" t="s">
        <v>67</v>
      </c>
      <c r="D3" s="32" t="s">
        <v>68</v>
      </c>
      <c r="E3" s="14" t="s">
        <v>51</v>
      </c>
      <c r="F3" s="33" t="s">
        <v>52</v>
      </c>
    </row>
    <row r="4" spans="2:6" x14ac:dyDescent="0.25">
      <c r="B4" s="5">
        <f t="shared" ref="B4:B22" si="0">B3+1</f>
        <v>2</v>
      </c>
      <c r="C4" s="29"/>
      <c r="D4" s="32"/>
      <c r="E4" s="13" t="s">
        <v>73</v>
      </c>
      <c r="F4" s="33"/>
    </row>
    <row r="5" spans="2:6" x14ac:dyDescent="0.25">
      <c r="B5" s="5">
        <f t="shared" si="0"/>
        <v>3</v>
      </c>
      <c r="C5" s="29"/>
      <c r="D5" s="32"/>
      <c r="E5" s="15" t="s">
        <v>75</v>
      </c>
      <c r="F5" s="33"/>
    </row>
    <row r="6" spans="2:6" x14ac:dyDescent="0.25">
      <c r="B6" s="5">
        <f t="shared" si="0"/>
        <v>4</v>
      </c>
      <c r="C6" s="29"/>
      <c r="D6" s="32"/>
      <c r="E6" s="28" t="s">
        <v>76</v>
      </c>
      <c r="F6" s="16" t="s">
        <v>50</v>
      </c>
    </row>
    <row r="7" spans="2:6" x14ac:dyDescent="0.25">
      <c r="B7" s="5">
        <f t="shared" si="0"/>
        <v>5</v>
      </c>
      <c r="C7" s="29"/>
      <c r="D7" s="32"/>
      <c r="E7" s="28"/>
      <c r="F7" s="17" t="s">
        <v>70</v>
      </c>
    </row>
    <row r="8" spans="2:6" x14ac:dyDescent="0.25">
      <c r="B8" s="5">
        <f t="shared" si="0"/>
        <v>6</v>
      </c>
      <c r="C8" s="29"/>
      <c r="D8" s="31" t="s">
        <v>69</v>
      </c>
      <c r="E8" s="14" t="s">
        <v>51</v>
      </c>
      <c r="F8" s="33" t="s">
        <v>52</v>
      </c>
    </row>
    <row r="9" spans="2:6" x14ac:dyDescent="0.25">
      <c r="B9" s="5">
        <f t="shared" si="0"/>
        <v>7</v>
      </c>
      <c r="C9" s="29"/>
      <c r="D9" s="31"/>
      <c r="E9" s="13" t="s">
        <v>73</v>
      </c>
      <c r="F9" s="33"/>
    </row>
    <row r="10" spans="2:6" x14ac:dyDescent="0.25">
      <c r="B10" s="5">
        <f t="shared" si="0"/>
        <v>8</v>
      </c>
      <c r="C10" s="29"/>
      <c r="D10" s="31"/>
      <c r="E10" s="15" t="s">
        <v>75</v>
      </c>
      <c r="F10" s="33"/>
    </row>
    <row r="11" spans="2:6" x14ac:dyDescent="0.25">
      <c r="B11" s="5">
        <f t="shared" si="0"/>
        <v>9</v>
      </c>
      <c r="C11" s="29"/>
      <c r="D11" s="31"/>
      <c r="E11" s="28" t="s">
        <v>76</v>
      </c>
      <c r="F11" s="16" t="s">
        <v>50</v>
      </c>
    </row>
    <row r="12" spans="2:6" x14ac:dyDescent="0.25">
      <c r="B12" s="5">
        <f t="shared" si="0"/>
        <v>10</v>
      </c>
      <c r="C12" s="29"/>
      <c r="D12" s="31"/>
      <c r="E12" s="28"/>
      <c r="F12" s="17" t="s">
        <v>70</v>
      </c>
    </row>
    <row r="13" spans="2:6" x14ac:dyDescent="0.25">
      <c r="B13" s="5">
        <f t="shared" si="0"/>
        <v>11</v>
      </c>
      <c r="C13" s="29" t="s">
        <v>74</v>
      </c>
      <c r="D13" s="32" t="s">
        <v>68</v>
      </c>
      <c r="E13" s="14" t="s">
        <v>51</v>
      </c>
      <c r="F13" s="33" t="s">
        <v>52</v>
      </c>
    </row>
    <row r="14" spans="2:6" x14ac:dyDescent="0.25">
      <c r="B14" s="5">
        <f t="shared" si="0"/>
        <v>12</v>
      </c>
      <c r="C14" s="29"/>
      <c r="D14" s="32"/>
      <c r="E14" s="13" t="s">
        <v>73</v>
      </c>
      <c r="F14" s="33"/>
    </row>
    <row r="15" spans="2:6" x14ac:dyDescent="0.25">
      <c r="B15" s="5">
        <f t="shared" si="0"/>
        <v>13</v>
      </c>
      <c r="C15" s="29"/>
      <c r="D15" s="32"/>
      <c r="E15" s="15" t="s">
        <v>75</v>
      </c>
      <c r="F15" s="33"/>
    </row>
    <row r="16" spans="2:6" x14ac:dyDescent="0.25">
      <c r="B16" s="5">
        <f t="shared" si="0"/>
        <v>14</v>
      </c>
      <c r="C16" s="29"/>
      <c r="D16" s="32"/>
      <c r="E16" s="28" t="s">
        <v>76</v>
      </c>
      <c r="F16" s="16" t="s">
        <v>50</v>
      </c>
    </row>
    <row r="17" spans="2:6" x14ac:dyDescent="0.25">
      <c r="B17" s="5">
        <f t="shared" si="0"/>
        <v>15</v>
      </c>
      <c r="C17" s="29"/>
      <c r="D17" s="32"/>
      <c r="E17" s="28"/>
      <c r="F17" s="17" t="s">
        <v>70</v>
      </c>
    </row>
    <row r="18" spans="2:6" x14ac:dyDescent="0.25">
      <c r="B18" s="5">
        <f t="shared" si="0"/>
        <v>16</v>
      </c>
      <c r="C18" s="29"/>
      <c r="D18" s="31" t="s">
        <v>69</v>
      </c>
      <c r="E18" s="14" t="s">
        <v>51</v>
      </c>
      <c r="F18" s="33" t="s">
        <v>52</v>
      </c>
    </row>
    <row r="19" spans="2:6" x14ac:dyDescent="0.25">
      <c r="B19" s="5">
        <f t="shared" si="0"/>
        <v>17</v>
      </c>
      <c r="C19" s="29"/>
      <c r="D19" s="31"/>
      <c r="E19" s="13" t="s">
        <v>73</v>
      </c>
      <c r="F19" s="33"/>
    </row>
    <row r="20" spans="2:6" x14ac:dyDescent="0.25">
      <c r="B20" s="5">
        <f t="shared" si="0"/>
        <v>18</v>
      </c>
      <c r="C20" s="29"/>
      <c r="D20" s="31"/>
      <c r="E20" s="15" t="s">
        <v>75</v>
      </c>
      <c r="F20" s="33"/>
    </row>
    <row r="21" spans="2:6" x14ac:dyDescent="0.25">
      <c r="B21" s="5">
        <f t="shared" si="0"/>
        <v>19</v>
      </c>
      <c r="C21" s="29"/>
      <c r="D21" s="31"/>
      <c r="E21" s="28" t="s">
        <v>76</v>
      </c>
      <c r="F21" s="16" t="s">
        <v>50</v>
      </c>
    </row>
    <row r="22" spans="2:6" x14ac:dyDescent="0.25">
      <c r="B22" s="5">
        <f t="shared" si="0"/>
        <v>20</v>
      </c>
      <c r="C22" s="29"/>
      <c r="D22" s="31"/>
      <c r="E22" s="28"/>
      <c r="F22" s="17" t="s">
        <v>70</v>
      </c>
    </row>
    <row r="23" spans="2:6" x14ac:dyDescent="0.25">
      <c r="B23" s="5">
        <f t="shared" ref="B23:B25" si="1">B22+1</f>
        <v>21</v>
      </c>
      <c r="C23" s="29" t="s">
        <v>77</v>
      </c>
      <c r="D23" s="30" t="s">
        <v>66</v>
      </c>
      <c r="E23" s="30" t="s">
        <v>78</v>
      </c>
      <c r="F23" s="5" t="s">
        <v>79</v>
      </c>
    </row>
    <row r="24" spans="2:6" ht="30" x14ac:dyDescent="0.25">
      <c r="B24" s="5">
        <f t="shared" si="1"/>
        <v>22</v>
      </c>
      <c r="C24" s="29"/>
      <c r="D24" s="30"/>
      <c r="E24" s="30"/>
      <c r="F24" s="5" t="s">
        <v>80</v>
      </c>
    </row>
    <row r="25" spans="2:6" x14ac:dyDescent="0.25">
      <c r="B25" s="5">
        <f t="shared" si="1"/>
        <v>23</v>
      </c>
      <c r="C25" s="29"/>
      <c r="D25" s="30"/>
      <c r="E25" s="30"/>
      <c r="F25" s="5" t="s">
        <v>82</v>
      </c>
    </row>
    <row r="30" spans="2:6" x14ac:dyDescent="0.25">
      <c r="B30" s="12"/>
    </row>
  </sheetData>
  <mergeCells count="17">
    <mergeCell ref="F3:F5"/>
    <mergeCell ref="F8:F10"/>
    <mergeCell ref="F13:F15"/>
    <mergeCell ref="F18:F20"/>
    <mergeCell ref="E11:E12"/>
    <mergeCell ref="E16:E17"/>
    <mergeCell ref="E21:E22"/>
    <mergeCell ref="C23:C25"/>
    <mergeCell ref="D23:D25"/>
    <mergeCell ref="E23:E25"/>
    <mergeCell ref="E6:E7"/>
    <mergeCell ref="C3:C12"/>
    <mergeCell ref="D8:D12"/>
    <mergeCell ref="C13:C22"/>
    <mergeCell ref="D13:D17"/>
    <mergeCell ref="D18:D22"/>
    <mergeCell ref="D3:D7"/>
  </mergeCells>
  <conditionalFormatting sqref="E3:E25">
    <cfRule type="duplicateValues" priority="1"/>
  </conditionalFormatting>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63B4E-5A27-409F-AA26-5EBF47CB60D3}">
  <sheetPr>
    <tabColor theme="1" tint="0.499984740745262"/>
  </sheetPr>
  <dimension ref="B2:J44"/>
  <sheetViews>
    <sheetView showGridLines="0" workbookViewId="0"/>
  </sheetViews>
  <sheetFormatPr defaultRowHeight="15" x14ac:dyDescent="0.25"/>
  <cols>
    <col min="2" max="2" width="9.28515625" style="6" customWidth="1"/>
    <col min="3" max="3" width="10" style="6" bestFit="1" customWidth="1"/>
    <col min="4" max="4" width="7.7109375" style="6" bestFit="1" customWidth="1"/>
    <col min="5" max="6" width="32.5703125" style="6" customWidth="1"/>
    <col min="8" max="9" width="22" bestFit="1" customWidth="1"/>
  </cols>
  <sheetData>
    <row r="2" spans="2:8" s="6" customFormat="1" ht="30" x14ac:dyDescent="0.25">
      <c r="B2" s="8" t="s">
        <v>71</v>
      </c>
      <c r="C2" s="8" t="s">
        <v>49</v>
      </c>
      <c r="D2" s="8" t="s">
        <v>47</v>
      </c>
      <c r="E2" s="8" t="s">
        <v>48</v>
      </c>
      <c r="F2" s="8" t="s">
        <v>81</v>
      </c>
    </row>
    <row r="3" spans="2:8" x14ac:dyDescent="0.25">
      <c r="B3" s="40">
        <v>1</v>
      </c>
      <c r="C3" s="42" t="s">
        <v>67</v>
      </c>
      <c r="D3" s="43" t="s">
        <v>68</v>
      </c>
      <c r="E3" s="38" t="s">
        <v>51</v>
      </c>
      <c r="F3" s="33" t="s">
        <v>52</v>
      </c>
    </row>
    <row r="4" spans="2:8" x14ac:dyDescent="0.25">
      <c r="B4" s="41"/>
      <c r="C4" s="42"/>
      <c r="D4" s="43"/>
      <c r="E4" s="39"/>
      <c r="F4" s="33"/>
    </row>
    <row r="5" spans="2:8" x14ac:dyDescent="0.25">
      <c r="B5" s="5">
        <v>2</v>
      </c>
      <c r="C5" s="42"/>
      <c r="D5" s="43"/>
      <c r="E5" s="24" t="s">
        <v>75</v>
      </c>
      <c r="F5" s="33"/>
    </row>
    <row r="6" spans="2:8" x14ac:dyDescent="0.25">
      <c r="B6" s="40">
        <v>3</v>
      </c>
      <c r="C6" s="42"/>
      <c r="D6" s="43"/>
      <c r="E6" s="34" t="s">
        <v>76</v>
      </c>
      <c r="F6" s="36" t="s">
        <v>70</v>
      </c>
    </row>
    <row r="7" spans="2:8" x14ac:dyDescent="0.25">
      <c r="B7" s="41"/>
      <c r="C7" s="42"/>
      <c r="D7" s="43"/>
      <c r="E7" s="34"/>
      <c r="F7" s="37"/>
    </row>
    <row r="8" spans="2:8" x14ac:dyDescent="0.25">
      <c r="B8" s="40">
        <v>4</v>
      </c>
      <c r="C8" s="42"/>
      <c r="D8" s="35" t="s">
        <v>69</v>
      </c>
      <c r="E8" s="38" t="s">
        <v>51</v>
      </c>
      <c r="F8" s="33" t="s">
        <v>52</v>
      </c>
    </row>
    <row r="9" spans="2:8" x14ac:dyDescent="0.25">
      <c r="B9" s="41"/>
      <c r="C9" s="42"/>
      <c r="D9" s="35"/>
      <c r="E9" s="39"/>
      <c r="F9" s="33"/>
    </row>
    <row r="10" spans="2:8" x14ac:dyDescent="0.25">
      <c r="B10" s="5">
        <v>5</v>
      </c>
      <c r="C10" s="42"/>
      <c r="D10" s="35"/>
      <c r="E10" s="24" t="s">
        <v>75</v>
      </c>
      <c r="F10" s="33"/>
    </row>
    <row r="11" spans="2:8" x14ac:dyDescent="0.25">
      <c r="B11" s="40">
        <v>6</v>
      </c>
      <c r="C11" s="42"/>
      <c r="D11" s="35"/>
      <c r="E11" s="34" t="s">
        <v>76</v>
      </c>
      <c r="F11" s="36" t="s">
        <v>70</v>
      </c>
    </row>
    <row r="12" spans="2:8" x14ac:dyDescent="0.25">
      <c r="B12" s="41"/>
      <c r="C12" s="42"/>
      <c r="D12" s="35"/>
      <c r="E12" s="34"/>
      <c r="F12" s="37"/>
    </row>
    <row r="14" spans="2:8" x14ac:dyDescent="0.25">
      <c r="B14" s="25" t="s">
        <v>125</v>
      </c>
      <c r="C14" s="21"/>
      <c r="D14" s="21"/>
      <c r="E14" s="21"/>
      <c r="H14" s="25" t="s">
        <v>155</v>
      </c>
    </row>
    <row r="15" spans="2:8" x14ac:dyDescent="0.25">
      <c r="B15" s="21" t="s">
        <v>124</v>
      </c>
      <c r="C15" s="21"/>
      <c r="D15" s="21"/>
      <c r="E15" s="21"/>
      <c r="H15" s="26" t="s">
        <v>150</v>
      </c>
    </row>
    <row r="16" spans="2:8" x14ac:dyDescent="0.25">
      <c r="B16" s="21" t="s">
        <v>126</v>
      </c>
      <c r="C16" s="21"/>
      <c r="D16" s="21"/>
      <c r="E16" s="21"/>
      <c r="H16" s="26" t="s">
        <v>146</v>
      </c>
    </row>
    <row r="17" spans="2:8" x14ac:dyDescent="0.25">
      <c r="B17" s="21" t="s">
        <v>192</v>
      </c>
      <c r="C17" s="21"/>
      <c r="D17" s="21"/>
      <c r="E17" s="21"/>
      <c r="H17" s="21" t="s">
        <v>149</v>
      </c>
    </row>
    <row r="18" spans="2:8" x14ac:dyDescent="0.25">
      <c r="B18" s="21"/>
      <c r="C18" s="21" t="s">
        <v>127</v>
      </c>
      <c r="D18" s="21"/>
      <c r="E18" s="21"/>
      <c r="H18" s="21" t="s">
        <v>141</v>
      </c>
    </row>
    <row r="19" spans="2:8" x14ac:dyDescent="0.25">
      <c r="B19" s="21"/>
      <c r="C19" s="21"/>
      <c r="D19" s="21" t="s">
        <v>194</v>
      </c>
      <c r="E19" s="21"/>
      <c r="H19" s="26" t="s">
        <v>142</v>
      </c>
    </row>
    <row r="20" spans="2:8" x14ac:dyDescent="0.25">
      <c r="B20" s="21"/>
      <c r="C20" s="21"/>
      <c r="D20" s="21" t="s">
        <v>195</v>
      </c>
      <c r="E20" s="21"/>
      <c r="H20" s="26" t="s">
        <v>144</v>
      </c>
    </row>
    <row r="21" spans="2:8" x14ac:dyDescent="0.25">
      <c r="B21" s="21"/>
      <c r="C21" s="21"/>
      <c r="D21" s="21" t="s">
        <v>128</v>
      </c>
      <c r="E21" s="21"/>
      <c r="H21" s="26" t="s">
        <v>140</v>
      </c>
    </row>
    <row r="22" spans="2:8" x14ac:dyDescent="0.25">
      <c r="B22" s="21" t="s">
        <v>196</v>
      </c>
      <c r="C22" s="21"/>
      <c r="D22" s="21"/>
      <c r="E22" s="21"/>
      <c r="H22" s="26"/>
    </row>
    <row r="23" spans="2:8" x14ac:dyDescent="0.25">
      <c r="B23" s="21" t="s">
        <v>186</v>
      </c>
      <c r="C23" s="21"/>
      <c r="D23" s="21"/>
      <c r="E23" s="21"/>
      <c r="H23" s="21" t="s">
        <v>143</v>
      </c>
    </row>
    <row r="24" spans="2:8" x14ac:dyDescent="0.25">
      <c r="B24" s="21" t="s">
        <v>193</v>
      </c>
      <c r="C24" s="21"/>
      <c r="D24" s="21"/>
      <c r="E24" s="21"/>
      <c r="H24" s="21" t="s">
        <v>153</v>
      </c>
    </row>
    <row r="25" spans="2:8" x14ac:dyDescent="0.25">
      <c r="C25" s="21"/>
      <c r="D25" s="21"/>
      <c r="E25" s="21" t="s">
        <v>169</v>
      </c>
      <c r="H25" s="21" t="s">
        <v>152</v>
      </c>
    </row>
    <row r="26" spans="2:8" x14ac:dyDescent="0.25">
      <c r="B26" s="21"/>
      <c r="C26" s="68"/>
      <c r="D26" s="68"/>
      <c r="E26" s="68"/>
      <c r="F26" s="69"/>
      <c r="G26" s="70"/>
      <c r="H26" s="21" t="s">
        <v>151</v>
      </c>
    </row>
    <row r="27" spans="2:8" x14ac:dyDescent="0.25">
      <c r="C27" s="69"/>
      <c r="D27" s="69"/>
      <c r="E27" s="69"/>
      <c r="F27" s="69"/>
      <c r="G27" s="70"/>
      <c r="H27" s="21" t="s">
        <v>148</v>
      </c>
    </row>
    <row r="28" spans="2:8" x14ac:dyDescent="0.25">
      <c r="C28" s="69"/>
      <c r="D28" s="69"/>
      <c r="E28" s="69"/>
      <c r="F28" s="69"/>
      <c r="G28" s="70"/>
      <c r="H28" s="21" t="s">
        <v>154</v>
      </c>
    </row>
    <row r="29" spans="2:8" x14ac:dyDescent="0.25">
      <c r="C29" s="69"/>
      <c r="D29" s="69"/>
      <c r="E29" s="69"/>
      <c r="F29" s="69"/>
      <c r="G29" s="70"/>
      <c r="H29" s="26" t="s">
        <v>145</v>
      </c>
    </row>
    <row r="30" spans="2:8" x14ac:dyDescent="0.25">
      <c r="H30" s="21" t="s">
        <v>147</v>
      </c>
    </row>
    <row r="42" spans="10:10" x14ac:dyDescent="0.25">
      <c r="J42" s="21"/>
    </row>
    <row r="43" spans="10:10" x14ac:dyDescent="0.25">
      <c r="J43" s="21"/>
    </row>
    <row r="44" spans="10:10" x14ac:dyDescent="0.25">
      <c r="J44" s="21"/>
    </row>
  </sheetData>
  <mergeCells count="15">
    <mergeCell ref="B3:B4"/>
    <mergeCell ref="B6:B7"/>
    <mergeCell ref="B8:B9"/>
    <mergeCell ref="B11:B12"/>
    <mergeCell ref="C3:C12"/>
    <mergeCell ref="F3:F5"/>
    <mergeCell ref="E6:E7"/>
    <mergeCell ref="D8:D12"/>
    <mergeCell ref="F8:F10"/>
    <mergeCell ref="E11:E12"/>
    <mergeCell ref="F6:F7"/>
    <mergeCell ref="F11:F12"/>
    <mergeCell ref="E8:E9"/>
    <mergeCell ref="E3:E4"/>
    <mergeCell ref="D3:D7"/>
  </mergeCells>
  <conditionalFormatting sqref="E3 E10:E12 E5:E8">
    <cfRule type="duplicateValues" priority="1"/>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1CE81-8331-4A5D-8D45-5C1E4987593A}">
  <sheetPr>
    <tabColor theme="9"/>
    <pageSetUpPr fitToPage="1"/>
  </sheetPr>
  <dimension ref="B2:J13"/>
  <sheetViews>
    <sheetView showGridLines="0" workbookViewId="0"/>
  </sheetViews>
  <sheetFormatPr defaultRowHeight="15" x14ac:dyDescent="0.25"/>
  <cols>
    <col min="1" max="1" width="9.140625" style="6"/>
    <col min="2" max="2" width="24.140625" style="6" bestFit="1" customWidth="1"/>
    <col min="3" max="3" width="47.28515625" style="6" bestFit="1" customWidth="1"/>
    <col min="4" max="4" width="52.85546875" style="6" bestFit="1" customWidth="1"/>
    <col min="5" max="5" width="9.140625" style="6"/>
    <col min="6" max="6" width="17" style="6" customWidth="1"/>
    <col min="7" max="7" width="9.140625" style="6"/>
    <col min="8" max="8" width="18.42578125" style="6" bestFit="1" customWidth="1"/>
    <col min="9" max="9" width="22.85546875" style="6" bestFit="1" customWidth="1"/>
    <col min="10" max="10" width="52.42578125" style="6" customWidth="1"/>
    <col min="11" max="16384" width="9.140625" style="6"/>
  </cols>
  <sheetData>
    <row r="2" spans="2:10" x14ac:dyDescent="0.25">
      <c r="B2" s="8" t="s">
        <v>48</v>
      </c>
      <c r="C2" s="8" t="s">
        <v>53</v>
      </c>
      <c r="D2" s="8" t="s">
        <v>65</v>
      </c>
      <c r="H2" s="8" t="s">
        <v>101</v>
      </c>
      <c r="I2" s="8" t="s">
        <v>53</v>
      </c>
      <c r="J2" s="8" t="s">
        <v>102</v>
      </c>
    </row>
    <row r="3" spans="2:10" ht="31.5" x14ac:dyDescent="0.25">
      <c r="B3" s="7" t="s">
        <v>54</v>
      </c>
      <c r="C3" s="9" t="s">
        <v>55</v>
      </c>
      <c r="D3" s="10" t="s">
        <v>56</v>
      </c>
      <c r="H3" s="22" t="s">
        <v>103</v>
      </c>
      <c r="I3" s="9" t="s">
        <v>104</v>
      </c>
      <c r="J3" s="10" t="s">
        <v>105</v>
      </c>
    </row>
    <row r="4" spans="2:10" ht="47.25" x14ac:dyDescent="0.25">
      <c r="B4" s="7" t="s">
        <v>57</v>
      </c>
      <c r="C4" s="9" t="s">
        <v>58</v>
      </c>
      <c r="D4" s="10" t="s">
        <v>59</v>
      </c>
      <c r="H4" s="22" t="s">
        <v>106</v>
      </c>
      <c r="I4" s="9" t="s">
        <v>104</v>
      </c>
      <c r="J4" s="10" t="s">
        <v>107</v>
      </c>
    </row>
    <row r="5" spans="2:10" ht="31.5" x14ac:dyDescent="0.25">
      <c r="B5" s="7" t="s">
        <v>60</v>
      </c>
      <c r="C5" s="9" t="s">
        <v>61</v>
      </c>
      <c r="D5" s="10" t="s">
        <v>62</v>
      </c>
      <c r="H5" s="22" t="s">
        <v>108</v>
      </c>
      <c r="I5" s="9" t="s">
        <v>104</v>
      </c>
      <c r="J5" s="10" t="s">
        <v>109</v>
      </c>
    </row>
    <row r="6" spans="2:10" ht="31.5" x14ac:dyDescent="0.25">
      <c r="B6" s="7" t="s">
        <v>83</v>
      </c>
      <c r="C6" s="9" t="s">
        <v>63</v>
      </c>
      <c r="D6" s="10" t="s">
        <v>64</v>
      </c>
      <c r="H6" s="22" t="s">
        <v>199</v>
      </c>
      <c r="I6" s="9" t="s">
        <v>110</v>
      </c>
      <c r="J6" s="10" t="s">
        <v>111</v>
      </c>
    </row>
    <row r="7" spans="2:10" ht="31.5" x14ac:dyDescent="0.25">
      <c r="H7" s="22" t="s">
        <v>112</v>
      </c>
      <c r="I7" s="9" t="s">
        <v>110</v>
      </c>
      <c r="J7" s="10" t="s">
        <v>113</v>
      </c>
    </row>
    <row r="8" spans="2:10" x14ac:dyDescent="0.25">
      <c r="B8" s="71" t="s">
        <v>205</v>
      </c>
    </row>
    <row r="9" spans="2:10" ht="15.75" x14ac:dyDescent="0.25">
      <c r="B9" s="72" t="s">
        <v>200</v>
      </c>
    </row>
    <row r="10" spans="2:10" x14ac:dyDescent="0.25">
      <c r="B10" s="73" t="s">
        <v>201</v>
      </c>
    </row>
    <row r="11" spans="2:10" x14ac:dyDescent="0.25">
      <c r="B11" s="73" t="s">
        <v>202</v>
      </c>
    </row>
    <row r="12" spans="2:10" ht="15.75" x14ac:dyDescent="0.25">
      <c r="B12" s="73" t="s">
        <v>203</v>
      </c>
      <c r="F12" s="20"/>
    </row>
    <row r="13" spans="2:10" ht="30" x14ac:dyDescent="0.25">
      <c r="B13" s="73" t="s">
        <v>204</v>
      </c>
    </row>
  </sheetData>
  <pageMargins left="0.7" right="0.7" top="0.75" bottom="0.7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DA801-AF45-4EFE-B8F9-13D78D71CE22}">
  <dimension ref="B2:D40"/>
  <sheetViews>
    <sheetView showGridLines="0" workbookViewId="0"/>
  </sheetViews>
  <sheetFormatPr defaultRowHeight="18.75" x14ac:dyDescent="0.3"/>
  <cols>
    <col min="2" max="2" width="9.140625" style="75"/>
  </cols>
  <sheetData>
    <row r="2" spans="2:4" x14ac:dyDescent="0.3">
      <c r="B2" s="74" t="s">
        <v>209</v>
      </c>
    </row>
    <row r="3" spans="2:4" x14ac:dyDescent="0.3">
      <c r="C3" s="1" t="s">
        <v>96</v>
      </c>
    </row>
    <row r="4" spans="2:4" x14ac:dyDescent="0.3">
      <c r="D4" t="s">
        <v>97</v>
      </c>
    </row>
    <row r="5" spans="2:4" x14ac:dyDescent="0.3">
      <c r="D5" t="s">
        <v>98</v>
      </c>
    </row>
    <row r="6" spans="2:4" x14ac:dyDescent="0.3">
      <c r="D6" t="s">
        <v>129</v>
      </c>
    </row>
    <row r="8" spans="2:4" x14ac:dyDescent="0.3">
      <c r="C8" s="1" t="s">
        <v>130</v>
      </c>
    </row>
    <row r="9" spans="2:4" x14ac:dyDescent="0.3">
      <c r="D9" t="s">
        <v>131</v>
      </c>
    </row>
    <row r="10" spans="2:4" x14ac:dyDescent="0.3">
      <c r="D10" t="s">
        <v>12</v>
      </c>
    </row>
    <row r="11" spans="2:4" x14ac:dyDescent="0.3">
      <c r="D11" t="s">
        <v>132</v>
      </c>
    </row>
    <row r="12" spans="2:4" x14ac:dyDescent="0.3">
      <c r="D12" t="s">
        <v>133</v>
      </c>
    </row>
    <row r="14" spans="2:4" x14ac:dyDescent="0.3">
      <c r="C14" s="1" t="s">
        <v>135</v>
      </c>
    </row>
    <row r="15" spans="2:4" x14ac:dyDescent="0.3">
      <c r="D15" t="s">
        <v>134</v>
      </c>
    </row>
    <row r="16" spans="2:4" x14ac:dyDescent="0.3">
      <c r="D16" t="s">
        <v>139</v>
      </c>
    </row>
    <row r="18" spans="2:4" x14ac:dyDescent="0.3">
      <c r="C18" s="1" t="s">
        <v>138</v>
      </c>
    </row>
    <row r="19" spans="2:4" x14ac:dyDescent="0.3">
      <c r="D19" t="s">
        <v>136</v>
      </c>
    </row>
    <row r="20" spans="2:4" x14ac:dyDescent="0.3">
      <c r="D20" t="s">
        <v>137</v>
      </c>
    </row>
    <row r="22" spans="2:4" x14ac:dyDescent="0.3">
      <c r="C22" s="1" t="s">
        <v>207</v>
      </c>
    </row>
    <row r="23" spans="2:4" x14ac:dyDescent="0.3">
      <c r="D23" t="s">
        <v>208</v>
      </c>
    </row>
    <row r="25" spans="2:4" x14ac:dyDescent="0.3">
      <c r="C25" s="1" t="s">
        <v>210</v>
      </c>
    </row>
    <row r="26" spans="2:4" x14ac:dyDescent="0.3">
      <c r="D26" t="s">
        <v>211</v>
      </c>
    </row>
    <row r="28" spans="2:4" x14ac:dyDescent="0.3">
      <c r="C28" s="1" t="s">
        <v>214</v>
      </c>
    </row>
    <row r="29" spans="2:4" x14ac:dyDescent="0.3">
      <c r="D29" t="s">
        <v>215</v>
      </c>
    </row>
    <row r="31" spans="2:4" x14ac:dyDescent="0.3">
      <c r="B31" s="74" t="s">
        <v>206</v>
      </c>
    </row>
    <row r="32" spans="2:4" x14ac:dyDescent="0.3">
      <c r="C32" t="s">
        <v>159</v>
      </c>
    </row>
    <row r="33" spans="3:3" x14ac:dyDescent="0.3">
      <c r="C33" t="s">
        <v>160</v>
      </c>
    </row>
    <row r="34" spans="3:3" x14ac:dyDescent="0.3">
      <c r="C34" t="s">
        <v>161</v>
      </c>
    </row>
    <row r="35" spans="3:3" x14ac:dyDescent="0.3">
      <c r="C35" t="s">
        <v>162</v>
      </c>
    </row>
    <row r="36" spans="3:3" x14ac:dyDescent="0.3">
      <c r="C36" t="s">
        <v>164</v>
      </c>
    </row>
    <row r="37" spans="3:3" x14ac:dyDescent="0.3">
      <c r="C37" t="s">
        <v>165</v>
      </c>
    </row>
    <row r="38" spans="3:3" x14ac:dyDescent="0.3">
      <c r="C38" t="s">
        <v>212</v>
      </c>
    </row>
    <row r="39" spans="3:3" x14ac:dyDescent="0.3">
      <c r="C39" t="s">
        <v>213</v>
      </c>
    </row>
    <row r="40" spans="3:3" x14ac:dyDescent="0.3">
      <c r="C40" t="s">
        <v>216</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52136-3775-46E7-913F-BFB56BFDD11A}">
  <sheetPr>
    <tabColor theme="5"/>
  </sheetPr>
  <dimension ref="B2:D12"/>
  <sheetViews>
    <sheetView showGridLines="0" workbookViewId="0"/>
  </sheetViews>
  <sheetFormatPr defaultRowHeight="15" x14ac:dyDescent="0.25"/>
  <cols>
    <col min="2" max="4" width="33.5703125" style="6" customWidth="1"/>
  </cols>
  <sheetData>
    <row r="2" spans="2:4" x14ac:dyDescent="0.25">
      <c r="B2" s="8" t="s">
        <v>53</v>
      </c>
      <c r="C2" s="8" t="s">
        <v>87</v>
      </c>
      <c r="D2" s="8" t="s">
        <v>158</v>
      </c>
    </row>
    <row r="3" spans="2:4" ht="38.25" x14ac:dyDescent="0.25">
      <c r="B3" s="44" t="s">
        <v>88</v>
      </c>
      <c r="C3" s="27" t="s">
        <v>89</v>
      </c>
      <c r="D3" s="47" t="s">
        <v>156</v>
      </c>
    </row>
    <row r="4" spans="2:4" x14ac:dyDescent="0.25">
      <c r="B4" s="46"/>
      <c r="C4" s="44" t="s">
        <v>90</v>
      </c>
      <c r="D4" s="47"/>
    </row>
    <row r="5" spans="2:4" x14ac:dyDescent="0.25">
      <c r="B5" s="45"/>
      <c r="C5" s="46"/>
      <c r="D5" s="47"/>
    </row>
    <row r="6" spans="2:4" ht="38.25" customHeight="1" x14ac:dyDescent="0.25">
      <c r="B6" s="44" t="s">
        <v>163</v>
      </c>
      <c r="C6" s="45"/>
      <c r="D6" s="47"/>
    </row>
    <row r="7" spans="2:4" ht="25.5" x14ac:dyDescent="0.25">
      <c r="B7" s="45"/>
      <c r="C7" s="27" t="s">
        <v>91</v>
      </c>
      <c r="D7" s="47"/>
    </row>
    <row r="8" spans="2:4" ht="38.25" x14ac:dyDescent="0.25">
      <c r="B8" s="27" t="s">
        <v>198</v>
      </c>
      <c r="C8" s="47" t="s">
        <v>166</v>
      </c>
      <c r="D8" s="47" t="s">
        <v>92</v>
      </c>
    </row>
    <row r="9" spans="2:4" ht="38.25" x14ac:dyDescent="0.25">
      <c r="B9" s="27" t="s">
        <v>157</v>
      </c>
      <c r="C9" s="47"/>
      <c r="D9" s="47"/>
    </row>
    <row r="10" spans="2:4" ht="38.25" x14ac:dyDescent="0.25">
      <c r="B10" s="47" t="s">
        <v>93</v>
      </c>
      <c r="C10" s="47" t="s">
        <v>94</v>
      </c>
      <c r="D10" s="27" t="s">
        <v>197</v>
      </c>
    </row>
    <row r="11" spans="2:4" x14ac:dyDescent="0.25">
      <c r="B11" s="47"/>
      <c r="C11" s="47"/>
      <c r="D11" s="44" t="s">
        <v>95</v>
      </c>
    </row>
    <row r="12" spans="2:4" x14ac:dyDescent="0.25">
      <c r="B12" s="47"/>
      <c r="C12" s="47"/>
      <c r="D12" s="45"/>
    </row>
  </sheetData>
  <mergeCells count="9">
    <mergeCell ref="D11:D12"/>
    <mergeCell ref="B6:B7"/>
    <mergeCell ref="B3:B5"/>
    <mergeCell ref="D3:D7"/>
    <mergeCell ref="C8:C9"/>
    <mergeCell ref="D8:D9"/>
    <mergeCell ref="C4:C6"/>
    <mergeCell ref="B10:B12"/>
    <mergeCell ref="C10:C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41FC-D00A-4181-99D4-BE393EFC9C69}">
  <sheetPr>
    <tabColor rgb="FFFFC000"/>
  </sheetPr>
  <dimension ref="B3:C15"/>
  <sheetViews>
    <sheetView showGridLines="0" workbookViewId="0"/>
  </sheetViews>
  <sheetFormatPr defaultRowHeight="15" x14ac:dyDescent="0.25"/>
  <cols>
    <col min="1" max="2" width="9.140625" style="21"/>
    <col min="3" max="3" width="89.42578125" style="21" customWidth="1"/>
    <col min="4" max="16384" width="9.140625" style="21"/>
  </cols>
  <sheetData>
    <row r="3" spans="2:3" x14ac:dyDescent="0.25">
      <c r="B3" s="8" t="s">
        <v>172</v>
      </c>
      <c r="C3" s="8" t="s">
        <v>173</v>
      </c>
    </row>
    <row r="4" spans="2:3" x14ac:dyDescent="0.25">
      <c r="B4" s="51" t="s">
        <v>122</v>
      </c>
      <c r="C4" s="49" t="s">
        <v>114</v>
      </c>
    </row>
    <row r="5" spans="2:3" x14ac:dyDescent="0.25">
      <c r="B5" s="52"/>
      <c r="C5" s="49" t="s">
        <v>115</v>
      </c>
    </row>
    <row r="6" spans="2:3" x14ac:dyDescent="0.25">
      <c r="B6" s="53"/>
      <c r="C6" s="49" t="s">
        <v>116</v>
      </c>
    </row>
    <row r="7" spans="2:3" x14ac:dyDescent="0.25">
      <c r="B7" s="48"/>
      <c r="C7" s="50"/>
    </row>
    <row r="8" spans="2:3" x14ac:dyDescent="0.25">
      <c r="B8" s="51" t="s">
        <v>99</v>
      </c>
      <c r="C8" s="49" t="s">
        <v>117</v>
      </c>
    </row>
    <row r="9" spans="2:3" x14ac:dyDescent="0.25">
      <c r="B9" s="52"/>
      <c r="C9" s="49" t="s">
        <v>118</v>
      </c>
    </row>
    <row r="10" spans="2:3" x14ac:dyDescent="0.25">
      <c r="B10" s="53"/>
      <c r="C10" s="49" t="s">
        <v>119</v>
      </c>
    </row>
    <row r="11" spans="2:3" x14ac:dyDescent="0.25">
      <c r="B11" s="48"/>
      <c r="C11" s="50"/>
    </row>
    <row r="12" spans="2:3" x14ac:dyDescent="0.25">
      <c r="B12" s="51" t="s">
        <v>100</v>
      </c>
      <c r="C12" s="49" t="s">
        <v>120</v>
      </c>
    </row>
    <row r="13" spans="2:3" x14ac:dyDescent="0.25">
      <c r="B13" s="52"/>
      <c r="C13" s="49" t="s">
        <v>123</v>
      </c>
    </row>
    <row r="14" spans="2:3" x14ac:dyDescent="0.25">
      <c r="B14" s="53"/>
      <c r="C14" s="49" t="s">
        <v>121</v>
      </c>
    </row>
    <row r="15" spans="2:3" x14ac:dyDescent="0.25">
      <c r="C15" s="23"/>
    </row>
  </sheetData>
  <mergeCells count="3">
    <mergeCell ref="B4:B6"/>
    <mergeCell ref="B8:B10"/>
    <mergeCell ref="B12:B1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Part A- Overall  Plan</vt:lpstr>
      <vt:lpstr>Part B -Approach for Diagnosis </vt:lpstr>
      <vt:lpstr>Facebook campaign setting</vt:lpstr>
      <vt:lpstr>Tiktok campaign Setting</vt:lpstr>
      <vt:lpstr>Audience Personas</vt:lpstr>
      <vt:lpstr>AB tests and Experiments</vt:lpstr>
      <vt:lpstr>Facebook Optimisation Approach</vt:lpstr>
      <vt:lpstr>UAC Campaign Setting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2019-12-09T19:35:22Z</dcterms:modified>
</cp:coreProperties>
</file>